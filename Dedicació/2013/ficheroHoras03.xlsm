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34" i="1"/>
  <c r="AI12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</calcChain>
</file>

<file path=xl/sharedStrings.xml><?xml version="1.0" encoding="utf-8"?>
<sst xmlns="http://schemas.openxmlformats.org/spreadsheetml/2006/main" count="36" uniqueCount="33">
  <si>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</si>
  <si>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</si>
  <si>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</si>
  <si>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</si>
  <si>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</si>
  <si>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</si>
  <si>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</si>
  <si>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</si>
  <si>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</si>
  <si>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</si>
  <si>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</si>
  <si>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</si>
  <si>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</si>
  <si>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</si>
  <si>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</si>
  <si>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</si>
  <si>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</si>
  <si>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</si>
  <si>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</si>
  <si>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</si>
  <si>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</si>
  <si>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</si>
  <si>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</si>
  <si>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</si>
  <si>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</si>
  <si>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</si>
  <si>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</si>
  <si>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</si>
  <si>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MOD_SOC_1212</t>
  </si>
  <si>
    <t>SOC_1212_M4_121204</t>
  </si>
  <si>
    <t>SOC_1212_M5_121204</t>
  </si>
  <si>
    <t>NCLI_1304_T1_130425</t>
  </si>
  <si>
    <t>NCLI_1304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</si>
</sst>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I35" sqref="AI35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41334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41334</v>
      </c>
      <c r="E2" s="20">
        <f>D2+1</f>
        <v>41335</v>
      </c>
      <c r="F2" s="20">
        <f t="shared" ref="F2:AE2" si="0">E2+1</f>
        <v>41336</v>
      </c>
      <c r="G2" s="20">
        <f t="shared" si="0"/>
        <v>41337</v>
      </c>
      <c r="H2" s="20">
        <f t="shared" si="0"/>
        <v>41338</v>
      </c>
      <c r="I2" s="20">
        <f t="shared" si="0"/>
        <v>41339</v>
      </c>
      <c r="J2" s="20">
        <f t="shared" si="0"/>
        <v>41340</v>
      </c>
      <c r="K2" s="20">
        <f t="shared" si="0"/>
        <v>41341</v>
      </c>
      <c r="L2" s="20">
        <f t="shared" si="0"/>
        <v>41342</v>
      </c>
      <c r="M2" s="20">
        <f t="shared" si="0"/>
        <v>41343</v>
      </c>
      <c r="N2" s="20">
        <f t="shared" si="0"/>
        <v>41344</v>
      </c>
      <c r="O2" s="20">
        <f t="shared" si="0"/>
        <v>41345</v>
      </c>
      <c r="P2" s="20">
        <f t="shared" si="0"/>
        <v>41346</v>
      </c>
      <c r="Q2" s="20">
        <f t="shared" si="0"/>
        <v>41347</v>
      </c>
      <c r="R2" s="20">
        <f t="shared" si="0"/>
        <v>41348</v>
      </c>
      <c r="S2" s="20">
        <f t="shared" si="0"/>
        <v>41349</v>
      </c>
      <c r="T2" s="20">
        <f t="shared" si="0"/>
        <v>41350</v>
      </c>
      <c r="U2" s="20">
        <f t="shared" si="0"/>
        <v>41351</v>
      </c>
      <c r="V2" s="20">
        <f t="shared" si="0"/>
        <v>41352</v>
      </c>
      <c r="W2" s="20">
        <f t="shared" si="0"/>
        <v>41353</v>
      </c>
      <c r="X2" s="20">
        <f t="shared" si="0"/>
        <v>41354</v>
      </c>
      <c r="Y2" s="20">
        <f t="shared" si="0"/>
        <v>41355</v>
      </c>
      <c r="Z2" s="20">
        <f t="shared" si="0"/>
        <v>41356</v>
      </c>
      <c r="AA2" s="20">
        <f t="shared" si="0"/>
        <v>41357</v>
      </c>
      <c r="AB2" s="20">
        <f t="shared" si="0"/>
        <v>41358</v>
      </c>
      <c r="AC2" s="20">
        <f t="shared" si="0"/>
        <v>41359</v>
      </c>
      <c r="AD2" s="20">
        <f t="shared" si="0"/>
        <v>41360</v>
      </c>
      <c r="AE2" s="20">
        <f t="shared" si="0"/>
        <v>41361</v>
      </c>
      <c r="AF2" s="20">
        <f>IF(MONTH(AE2+1)=$B$35,AE2+1," ")</f>
        <v>41362</v>
      </c>
      <c r="AG2" s="20">
        <f>IF(MONTH(AE2+2)=$B$35,AE2+2," ")</f>
        <v>41363</v>
      </c>
      <c r="AH2" s="20">
        <f>IF(MONTH(AE2+3)=$B$35,AE2+3," ")</f>
        <v>41364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29</v>
      </c>
      <c r="D3" s="19">
        <v>8</v>
      </c>
      <c r="E3" s="19"/>
      <c r="F3" s="19"/>
      <c r="G3" s="19">
        <v>8</v>
      </c>
      <c r="H3" s="19">
        <v>8</v>
      </c>
      <c r="I3" s="19">
        <v>8</v>
      </c>
      <c r="J3" s="19">
        <v>8</v>
      </c>
      <c r="K3" s="19">
        <v>8</v>
      </c>
      <c r="L3" s="19"/>
      <c r="M3" s="19"/>
      <c r="N3" s="19">
        <v>8</v>
      </c>
      <c r="O3" s="19">
        <v>8</v>
      </c>
      <c r="P3" s="19">
        <v>8</v>
      </c>
      <c r="Q3" s="19">
        <v>8</v>
      </c>
      <c r="R3" s="19">
        <v>8</v>
      </c>
      <c r="S3" s="19"/>
      <c r="T3" s="19"/>
      <c r="U3" s="19">
        <v>8</v>
      </c>
      <c r="V3" s="19">
        <v>8</v>
      </c>
      <c r="W3" s="19">
        <v>8</v>
      </c>
      <c r="X3" s="19">
        <v>8</v>
      </c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120</v>
      </c>
    </row>
    <row r="4" spans="1:35" s="27" customFormat="1">
      <c r="A4" s="35" t="s">
        <v>28</v>
      </c>
      <c r="B4" s="36"/>
      <c r="C4" s="35" t="s">
        <v>30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>
        <v>8</v>
      </c>
      <c r="Z4" s="17"/>
      <c r="AA4" s="17"/>
      <c r="AB4" s="17">
        <v>8</v>
      </c>
      <c r="AC4" s="17"/>
      <c r="AD4" s="17"/>
      <c r="AE4" s="17"/>
      <c r="AF4" s="17"/>
      <c r="AG4" s="17"/>
      <c r="AH4" s="17"/>
      <c r="AI4" s="26">
        <f t="shared" si="1"/>
        <v>16</v>
      </c>
    </row>
    <row r="5" spans="1:35" s="27" customFormat="1">
      <c r="A5" s="34" t="s">
        <v>32</v>
      </c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>
        <v>8</v>
      </c>
      <c r="AD5" s="17">
        <v>8</v>
      </c>
      <c r="AE5" s="17">
        <v>8</v>
      </c>
      <c r="AF5" s="17">
        <v>8</v>
      </c>
      <c r="AG5" s="17"/>
      <c r="AH5" s="17"/>
      <c r="AI5" s="26">
        <f t="shared" si="1"/>
        <v>32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>
        <f t="shared" si="3"/>
        <v>8</v>
      </c>
      <c r="F30" s="14">
        <f t="shared" si="3"/>
        <v>8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>
        <f t="shared" si="3"/>
        <v>8</v>
      </c>
      <c r="M30" s="14">
        <f t="shared" si="3"/>
        <v>8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>
        <f t="shared" si="3"/>
        <v>8</v>
      </c>
      <c r="T30" s="14">
        <f t="shared" si="3"/>
        <v>8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>
        <f t="shared" si="3"/>
        <v>8</v>
      </c>
      <c r="AA30" s="14">
        <f t="shared" si="3"/>
        <v>8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>
        <f>IF(MONTH(AE2+2)=$B$35,IF(WEEKDAY(AG2,2)&gt;5,8," ")," ")</f>
        <v>8</v>
      </c>
      <c r="AH30" s="14">
        <f>IF(MONTH(AE2+3)=$B$35,IF(WEEKDAY(AH2,2)&gt;5,8," ")," ")</f>
        <v>8</v>
      </c>
      <c r="AI30" s="28">
        <f t="shared" si="1"/>
        <v>80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8</v>
      </c>
      <c r="AI34" s="31">
        <f>SUBTOTAL(109,AI3:AI33)</f>
        <v>248</v>
      </c>
    </row>
    <row r="35" spans="1:35" ht="29.25" customHeight="1">
      <c r="A35" s="24" t="s">
        <v>23</v>
      </c>
      <c r="B35" s="22">
        <v>3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2014-03-04T11:43:57Z</dcterms:modified>
</cp:coreProperties>
</file>