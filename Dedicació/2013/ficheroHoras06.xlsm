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211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12" i="1"/>
  <c r="AI13"/>
  <c r="AI14"/>
  <c r="C1"/>
  <c r="D2"/>
  <c r="D30" s="1"/>
  <c r="AI28"/>
  <c r="AI27"/>
  <c r="AI26"/>
  <c r="AI25"/>
  <c r="AI24"/>
  <c r="AI23"/>
  <c r="AI22"/>
  <c r="E2" l="1"/>
  <c r="E30" s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4"/>
  <c r="G2" l="1"/>
  <c r="F30"/>
  <c r="F34" s="1"/>
  <c r="H2" l="1"/>
  <c r="G30"/>
  <c r="I2" l="1"/>
  <c r="H30"/>
  <c r="H34" s="1"/>
  <c r="G34"/>
  <c r="J2" l="1"/>
  <c r="I30"/>
  <c r="K2" l="1"/>
  <c r="K30" s="1"/>
  <c r="J30"/>
  <c r="J34" s="1"/>
  <c r="I34"/>
  <c r="L2" l="1"/>
  <c r="L30" s="1"/>
  <c r="M2" l="1"/>
  <c r="M30" s="1"/>
  <c r="L34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AA30" s="1"/>
  <c r="Z34"/>
  <c r="AB2" l="1"/>
  <c r="AB30" s="1"/>
  <c r="AA34"/>
  <c r="AC2" l="1"/>
  <c r="AB34"/>
  <c r="AD2" l="1"/>
  <c r="AC30"/>
  <c r="AC34" s="1"/>
  <c r="AE2" l="1"/>
  <c r="AD30"/>
  <c r="AD34" s="1"/>
  <c r="AE30" l="1"/>
  <c r="AE34" s="1"/>
  <c r="AG2"/>
  <c r="AG30" s="1"/>
  <c r="AH2"/>
  <c r="AH30" s="1"/>
  <c r="AF2"/>
  <c r="AF30" l="1"/>
  <c r="AF34" s="1"/>
  <c r="AG34"/>
  <c r="AH34"/>
  <c r="AI30" l="1"/>
  <c r="AI34" s="1"/>
</calcChain>
</file>

<file path=xl/sharedStrings.xml><?xml version="1.0" encoding="utf-8"?>
<sst xmlns="http://schemas.openxmlformats.org/spreadsheetml/2006/main" count="40" uniqueCount="34">
  <si>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</si>
  <si>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</si>
  <si>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</si>
  <si>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</si>
  <si>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</si>
  <si>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</si>
  <si>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</si>
  <si>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</si>
  <si>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</si>
  <si>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</si>
  <si>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</si>
  <si>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</si>
  <si>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</si>
  <si>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</si>
  <si>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</si>
  <si>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</si>
  <si>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</si>
  <si>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</si>
  <si>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</si>
  <si>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</si>
  <si>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</si>
  <si>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</si>
  <si>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</si>
  <si>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</si>
  <si>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</si>
  <si>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</si>
  <si>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</si>
  <si>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</si>
  <si>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NCLI_1304</t>
  </si>
  <si>
    <t>NCLI_1304_T4_130425</t>
  </si>
  <si>
    <t>NCLI_1304_T5_130425</t>
  </si>
  <si>
    <t>NCLI_1304_T6_130425</t>
  </si>
  <si>
    <t>NCLI_1304_T7_130617</t>
  </si>
  <si>
    <t>NCLI_1304_T8_130625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</si>
</sst>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2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0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AA17" sqref="AA17"/>
    </sheetView>
  </sheetViews>
  <sheetFormatPr baseColWidth="10" defaultColWidth="0" defaultRowHeight="15"/>
  <cols>
    <col min="1" max="1" width="26.42578125" customWidth="1"/>
    <col min="2" max="2" width="28.42578125" customWidth="1"/>
    <col min="3" max="3" width="43.285156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41426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41426</v>
      </c>
      <c r="E2" s="20">
        <f>D2+1</f>
        <v>41427</v>
      </c>
      <c r="F2" s="20">
        <f t="shared" ref="F2:AE2" si="0">E2+1</f>
        <v>41428</v>
      </c>
      <c r="G2" s="20">
        <f t="shared" si="0"/>
        <v>41429</v>
      </c>
      <c r="H2" s="20">
        <f t="shared" si="0"/>
        <v>41430</v>
      </c>
      <c r="I2" s="20">
        <f t="shared" si="0"/>
        <v>41431</v>
      </c>
      <c r="J2" s="20">
        <f t="shared" si="0"/>
        <v>41432</v>
      </c>
      <c r="K2" s="20">
        <f t="shared" si="0"/>
        <v>41433</v>
      </c>
      <c r="L2" s="20">
        <f t="shared" si="0"/>
        <v>41434</v>
      </c>
      <c r="M2" s="20">
        <f t="shared" si="0"/>
        <v>41435</v>
      </c>
      <c r="N2" s="20">
        <f t="shared" si="0"/>
        <v>41436</v>
      </c>
      <c r="O2" s="20">
        <f t="shared" si="0"/>
        <v>41437</v>
      </c>
      <c r="P2" s="20">
        <f t="shared" si="0"/>
        <v>41438</v>
      </c>
      <c r="Q2" s="20">
        <f t="shared" si="0"/>
        <v>41439</v>
      </c>
      <c r="R2" s="20">
        <f t="shared" si="0"/>
        <v>41440</v>
      </c>
      <c r="S2" s="20">
        <f t="shared" si="0"/>
        <v>41441</v>
      </c>
      <c r="T2" s="20">
        <f t="shared" si="0"/>
        <v>41442</v>
      </c>
      <c r="U2" s="20">
        <f t="shared" si="0"/>
        <v>41443</v>
      </c>
      <c r="V2" s="20">
        <f t="shared" si="0"/>
        <v>41444</v>
      </c>
      <c r="W2" s="20">
        <f t="shared" si="0"/>
        <v>41445</v>
      </c>
      <c r="X2" s="20">
        <f t="shared" si="0"/>
        <v>41446</v>
      </c>
      <c r="Y2" s="20">
        <f t="shared" si="0"/>
        <v>41447</v>
      </c>
      <c r="Z2" s="20">
        <f t="shared" si="0"/>
        <v>41448</v>
      </c>
      <c r="AA2" s="20">
        <f t="shared" si="0"/>
        <v>41449</v>
      </c>
      <c r="AB2" s="20">
        <f t="shared" si="0"/>
        <v>41450</v>
      </c>
      <c r="AC2" s="20">
        <f t="shared" si="0"/>
        <v>41451</v>
      </c>
      <c r="AD2" s="20">
        <f t="shared" si="0"/>
        <v>41452</v>
      </c>
      <c r="AE2" s="20">
        <f t="shared" si="0"/>
        <v>41453</v>
      </c>
      <c r="AF2" s="20">
        <f>IF(MONTH(AE2+1)=$B$35,AE2+1," ")</f>
        <v>41454</v>
      </c>
      <c r="AG2" s="20">
        <f>IF(MONTH(AE2+2)=$B$35,AE2+2," ")</f>
        <v>41455</v>
      </c>
      <c r="AH2" s="20" t="str">
        <f>IF(MONTH(AE2+3)=$B$35,AE2+3," ")</f>
        <v xml:space="preserve"> </v>
      </c>
      <c r="AI2" s="4" t="s">
        <v>0</v>
      </c>
    </row>
    <row r="3" spans="1:35" s="27" customFormat="1" ht="15.75" thickTop="1">
      <c r="A3" s="34" t="s">
        <v>28</v>
      </c>
      <c r="B3" s="33"/>
      <c r="C3" s="34" t="s">
        <v>29</v>
      </c>
      <c r="D3" s="19"/>
      <c r="E3" s="19"/>
      <c r="F3" s="19">
        <v>8</v>
      </c>
      <c r="G3" s="19">
        <v>8</v>
      </c>
      <c r="H3" s="19">
        <v>8</v>
      </c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26">
        <f t="shared" ref="AI3:AI33" si="1">SUM(D3:AH3)</f>
        <v>24</v>
      </c>
    </row>
    <row r="4" spans="1:35" s="27" customFormat="1">
      <c r="A4" s="35" t="s">
        <v>28</v>
      </c>
      <c r="B4" s="36"/>
      <c r="C4" s="35" t="s">
        <v>30</v>
      </c>
      <c r="D4" s="17"/>
      <c r="E4" s="17"/>
      <c r="F4" s="17"/>
      <c r="G4" s="17"/>
      <c r="H4" s="17"/>
      <c r="I4" s="17">
        <v>8</v>
      </c>
      <c r="J4" s="17">
        <v>8</v>
      </c>
      <c r="K4" s="17"/>
      <c r="L4" s="17"/>
      <c r="M4" s="17">
        <v>8</v>
      </c>
      <c r="N4" s="17">
        <v>8</v>
      </c>
      <c r="O4" s="17">
        <v>8</v>
      </c>
      <c r="P4" s="17">
        <v>8</v>
      </c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26">
        <f t="shared" si="1"/>
        <v>48</v>
      </c>
    </row>
    <row r="5" spans="1:35" s="27" customFormat="1">
      <c r="A5" s="34" t="s">
        <v>28</v>
      </c>
      <c r="B5" s="33"/>
      <c r="C5" s="34" t="s">
        <v>31</v>
      </c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>
        <v>8</v>
      </c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26">
        <f t="shared" si="1"/>
        <v>8</v>
      </c>
    </row>
    <row r="6" spans="1:35" s="27" customFormat="1">
      <c r="A6" s="35" t="s">
        <v>28</v>
      </c>
      <c r="B6" s="36"/>
      <c r="C6" s="35" t="s">
        <v>32</v>
      </c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>
        <v>8</v>
      </c>
      <c r="U6" s="17">
        <v>8</v>
      </c>
      <c r="V6" s="17">
        <v>8</v>
      </c>
      <c r="W6" s="17">
        <v>8</v>
      </c>
      <c r="X6" s="17">
        <v>8</v>
      </c>
      <c r="Y6" s="17"/>
      <c r="Z6" s="17"/>
      <c r="AA6" s="17">
        <v>8</v>
      </c>
      <c r="AB6" s="17">
        <v>8</v>
      </c>
      <c r="AC6" s="17"/>
      <c r="AD6" s="17"/>
      <c r="AE6" s="17"/>
      <c r="AF6" s="17"/>
      <c r="AG6" s="17"/>
      <c r="AH6" s="17"/>
      <c r="AI6" s="26">
        <f t="shared" ref="AI6:AI15" si="2">SUM(D6:AH6)</f>
        <v>56</v>
      </c>
    </row>
    <row r="7" spans="1:35" s="27" customFormat="1">
      <c r="A7" s="34" t="s">
        <v>28</v>
      </c>
      <c r="B7" s="33"/>
      <c r="C7" s="34" t="s">
        <v>33</v>
      </c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>
        <v>8</v>
      </c>
      <c r="AD7" s="17">
        <v>8</v>
      </c>
      <c r="AE7" s="17">
        <v>8</v>
      </c>
      <c r="AF7" s="17"/>
      <c r="AG7" s="17"/>
      <c r="AH7" s="17"/>
      <c r="AI7" s="26">
        <f t="shared" si="2"/>
        <v>24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0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>
        <f t="shared" ref="D30:AE30" si="3">IF(WEEKDAY(D2,2)&gt;5,8," ")</f>
        <v>8</v>
      </c>
      <c r="E30" s="14">
        <f t="shared" si="3"/>
        <v>8</v>
      </c>
      <c r="F30" s="14" t="str">
        <f t="shared" si="3"/>
        <v xml:space="preserve"> </v>
      </c>
      <c r="G30" s="14" t="str">
        <f t="shared" si="3"/>
        <v xml:space="preserve"> </v>
      </c>
      <c r="H30" s="14" t="str">
        <f t="shared" si="3"/>
        <v xml:space="preserve"> </v>
      </c>
      <c r="I30" s="14" t="str">
        <f t="shared" si="3"/>
        <v xml:space="preserve"> </v>
      </c>
      <c r="J30" s="14" t="str">
        <f t="shared" si="3"/>
        <v xml:space="preserve"> </v>
      </c>
      <c r="K30" s="14">
        <f t="shared" si="3"/>
        <v>8</v>
      </c>
      <c r="L30" s="14">
        <f t="shared" si="3"/>
        <v>8</v>
      </c>
      <c r="M30" s="14" t="str">
        <f t="shared" si="3"/>
        <v xml:space="preserve"> </v>
      </c>
      <c r="N30" s="14" t="str">
        <f t="shared" si="3"/>
        <v xml:space="preserve"> </v>
      </c>
      <c r="O30" s="14" t="str">
        <f t="shared" si="3"/>
        <v xml:space="preserve"> </v>
      </c>
      <c r="P30" s="14" t="str">
        <f t="shared" si="3"/>
        <v xml:space="preserve"> </v>
      </c>
      <c r="Q30" s="14" t="str">
        <f t="shared" si="3"/>
        <v xml:space="preserve"> </v>
      </c>
      <c r="R30" s="14">
        <f t="shared" si="3"/>
        <v>8</v>
      </c>
      <c r="S30" s="14">
        <f t="shared" si="3"/>
        <v>8</v>
      </c>
      <c r="T30" s="14" t="str">
        <f t="shared" si="3"/>
        <v xml:space="preserve"> </v>
      </c>
      <c r="U30" s="14" t="str">
        <f t="shared" si="3"/>
        <v xml:space="preserve"> </v>
      </c>
      <c r="V30" s="14" t="str">
        <f t="shared" si="3"/>
        <v xml:space="preserve"> </v>
      </c>
      <c r="W30" s="14" t="str">
        <f t="shared" si="3"/>
        <v xml:space="preserve"> </v>
      </c>
      <c r="X30" s="14" t="str">
        <f t="shared" si="3"/>
        <v xml:space="preserve"> </v>
      </c>
      <c r="Y30" s="14">
        <f t="shared" si="3"/>
        <v>8</v>
      </c>
      <c r="Z30" s="14">
        <f t="shared" si="3"/>
        <v>8</v>
      </c>
      <c r="AA30" s="14" t="str">
        <f t="shared" si="3"/>
        <v xml:space="preserve"> </v>
      </c>
      <c r="AB30" s="14" t="str">
        <f t="shared" si="3"/>
        <v xml:space="preserve"> </v>
      </c>
      <c r="AC30" s="14" t="str">
        <f t="shared" si="3"/>
        <v xml:space="preserve"> </v>
      </c>
      <c r="AD30" s="14" t="str">
        <f t="shared" si="3"/>
        <v xml:space="preserve"> </v>
      </c>
      <c r="AE30" s="14" t="str">
        <f t="shared" si="3"/>
        <v xml:space="preserve"> </v>
      </c>
      <c r="AF30" s="14">
        <f>IF(MONTH(AE2+1)=$B$35,IF(WEEKDAY(AF2,2)&gt;5,8," ")," ")</f>
        <v>8</v>
      </c>
      <c r="AG30" s="14">
        <f>IF(MONTH(AE2+2)=$B$35,IF(WEEKDAY(AG2,2)&gt;5,8," ")," ")</f>
        <v>8</v>
      </c>
      <c r="AH30" s="14" t="str">
        <f>IF(MONTH(AE2+3)=$B$35,IF(WEEKDAY(AH2,2)&gt;5,8," ")," ")</f>
        <v xml:space="preserve"> </v>
      </c>
      <c r="AI30" s="28">
        <f t="shared" si="1"/>
        <v>80</v>
      </c>
    </row>
    <row r="31" spans="1:35" s="40" customFormat="1">
      <c r="A31" s="37"/>
      <c r="B31" s="37"/>
      <c r="C31" s="9" t="s">
        <v>4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0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AH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 t="shared" si="4"/>
        <v>8</v>
      </c>
      <c r="U34" s="32">
        <f t="shared" si="4"/>
        <v>8</v>
      </c>
      <c r="V34" s="32">
        <f t="shared" si="4"/>
        <v>8</v>
      </c>
      <c r="W34" s="32">
        <f t="shared" si="4"/>
        <v>8</v>
      </c>
      <c r="X34" s="32">
        <f t="shared" si="4"/>
        <v>8</v>
      </c>
      <c r="Y34" s="32">
        <f t="shared" si="4"/>
        <v>8</v>
      </c>
      <c r="Z34" s="32">
        <f t="shared" si="4"/>
        <v>8</v>
      </c>
      <c r="AA34" s="32">
        <f t="shared" si="4"/>
        <v>8</v>
      </c>
      <c r="AB34" s="32">
        <f t="shared" si="4"/>
        <v>8</v>
      </c>
      <c r="AC34" s="32">
        <f t="shared" si="4"/>
        <v>8</v>
      </c>
      <c r="AD34" s="32">
        <f t="shared" si="4"/>
        <v>8</v>
      </c>
      <c r="AE34" s="32">
        <f t="shared" si="4"/>
        <v>8</v>
      </c>
      <c r="AF34" s="32">
        <f t="shared" si="4"/>
        <v>8</v>
      </c>
      <c r="AG34" s="32">
        <f t="shared" si="4"/>
        <v>8</v>
      </c>
      <c r="AH34" s="32">
        <f t="shared" si="4"/>
        <v>0</v>
      </c>
      <c r="AI34" s="31">
        <f>SUBTOTAL(109,AI3:AI33)</f>
        <v>240</v>
      </c>
    </row>
    <row r="35" spans="1:35" ht="29.25" customHeight="1">
      <c r="A35" s="24" t="s">
        <v>23</v>
      </c>
      <c r="B35" s="22">
        <v>6</v>
      </c>
    </row>
    <row r="36" spans="1:35" ht="30.75" customHeight="1">
      <c r="A36" s="25" t="s">
        <v>24</v>
      </c>
      <c r="B36" s="23">
        <v>2013</v>
      </c>
      <c r="C36" s="3"/>
    </row>
    <row r="37" spans="1:35" ht="16.5" customHeight="1"/>
  </sheetData>
  <mergeCells count="1">
    <mergeCell ref="A1:B1"/>
  </mergeCells>
  <conditionalFormatting sqref="D3:AH29">
    <cfRule type="expression" dxfId="9" priority="11">
      <formula>MOD(ROW(),2)=0</formula>
    </cfRule>
    <cfRule type="expression" dxfId="8" priority="12">
      <formula>MOD(ROW(),2)=1</formula>
    </cfRule>
    <cfRule type="expression" dxfId="7" priority="20">
      <formula>_xludf.MOD(ROW(),2)=1</formula>
    </cfRule>
  </conditionalFormatting>
  <conditionalFormatting sqref="D2:AH29">
    <cfRule type="expression" dxfId="6" priority="8">
      <formula>AND((_xludf.MOD(COLUMN(),2)=1),(_xludf.MOD(ROW(),2)=1))</formula>
    </cfRule>
    <cfRule type="expression" dxfId="5" priority="14">
      <formula>_xludf.MOD(ROW(),2)=0</formula>
    </cfRule>
    <cfRule type="expression" dxfId="4" priority="17">
      <formula>_xludf.MOD(ROW(),2)=1</formula>
    </cfRule>
  </conditionalFormatting>
  <conditionalFormatting sqref="D3:AI29">
    <cfRule type="expression" dxfId="3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2014-03-04T11:52:17Z</dcterms:modified>
</cp:coreProperties>
</file>