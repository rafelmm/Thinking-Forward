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<sst xmlns="http://schemas.openxmlformats.org/spreadsheetml/2006/main" count="32" uniqueCount="30">
  <si>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</si>
  <si>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</si>
  <si>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</si>
  <si>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</si>
  <si>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</si>
  <si>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</si>
  <si>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</si>
  <si>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</si>
  <si>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</si>
  <si>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</si>
  <si>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</si>
  <si>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</si>
  <si>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</si>
  <si>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</si>
  <si>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</si>
  <si>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</si>
  <si>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</si>
  <si>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</si>
  <si>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</si>
  <si>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</si>
  <si>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</si>
  <si>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</si>
  <si>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</si>
  <si>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</si>
  <si>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</si>
  <si>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</si>
  <si>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</si>
  <si>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</si>
  <si>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</si>
  <si>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NCLI_1304_T14_130909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</si>
</sst>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7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  <xf numFmtId="0" fontId="0" fillId="3" borderId="1" xfId="2" applyFont="1" applyBorder="1"/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16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5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14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" sqref="AI3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41548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41548</v>
      </c>
      <c r="E2" s="20">
        <f>D2+1</f>
        <v>41549</v>
      </c>
      <c r="F2" s="20">
        <f t="shared" ref="F2:AE2" si="0">E2+1</f>
        <v>41550</v>
      </c>
      <c r="G2" s="20">
        <f t="shared" si="0"/>
        <v>41551</v>
      </c>
      <c r="H2" s="20">
        <f t="shared" si="0"/>
        <v>41552</v>
      </c>
      <c r="I2" s="20">
        <f t="shared" si="0"/>
        <v>41553</v>
      </c>
      <c r="J2" s="20">
        <f t="shared" si="0"/>
        <v>41554</v>
      </c>
      <c r="K2" s="20">
        <f t="shared" si="0"/>
        <v>41555</v>
      </c>
      <c r="L2" s="20">
        <f t="shared" si="0"/>
        <v>41556</v>
      </c>
      <c r="M2" s="20">
        <f t="shared" si="0"/>
        <v>41557</v>
      </c>
      <c r="N2" s="20">
        <f t="shared" si="0"/>
        <v>41558</v>
      </c>
      <c r="O2" s="20">
        <f t="shared" si="0"/>
        <v>41559</v>
      </c>
      <c r="P2" s="20">
        <f t="shared" si="0"/>
        <v>41560</v>
      </c>
      <c r="Q2" s="20">
        <f t="shared" si="0"/>
        <v>41561</v>
      </c>
      <c r="R2" s="20">
        <f t="shared" si="0"/>
        <v>41562</v>
      </c>
      <c r="S2" s="20">
        <f t="shared" si="0"/>
        <v>41563</v>
      </c>
      <c r="T2" s="20">
        <f t="shared" si="0"/>
        <v>41564</v>
      </c>
      <c r="U2" s="20">
        <f t="shared" si="0"/>
        <v>41565</v>
      </c>
      <c r="V2" s="20">
        <f t="shared" si="0"/>
        <v>41566</v>
      </c>
      <c r="W2" s="20">
        <f t="shared" si="0"/>
        <v>41567</v>
      </c>
      <c r="X2" s="20">
        <f t="shared" si="0"/>
        <v>41568</v>
      </c>
      <c r="Y2" s="20">
        <f t="shared" si="0"/>
        <v>41569</v>
      </c>
      <c r="Z2" s="20">
        <f t="shared" si="0"/>
        <v>41570</v>
      </c>
      <c r="AA2" s="20">
        <f t="shared" si="0"/>
        <v>41571</v>
      </c>
      <c r="AB2" s="20">
        <f t="shared" si="0"/>
        <v>41572</v>
      </c>
      <c r="AC2" s="20">
        <f t="shared" si="0"/>
        <v>41573</v>
      </c>
      <c r="AD2" s="20">
        <f t="shared" si="0"/>
        <v>41574</v>
      </c>
      <c r="AE2" s="20">
        <f t="shared" si="0"/>
        <v>41575</v>
      </c>
      <c r="AF2" s="20">
        <f>IF(MONTH(AE2+1)=$B$35,AE2+1," ")</f>
        <v>41576</v>
      </c>
      <c r="AG2" s="20">
        <f>IF(MONTH(AE2+2)=$B$35,AE2+2," ")</f>
        <v>41577</v>
      </c>
      <c r="AH2" s="20">
        <f>IF(MONTH(AE2+3)=$B$35,AE2+3," ")</f>
        <v>41578</v>
      </c>
      <c r="AI2" s="4" t="s">
        <v>0</v>
      </c>
    </row>
    <row r="3" spans="1:35" s="27" customFormat="1" ht="15.75" thickTop="1">
      <c r="A3" s="34" t="s">
        <v>28</v>
      </c>
      <c r="B3" s="33"/>
      <c r="C3" s="46" t="s">
        <v>29</v>
      </c>
      <c r="D3" s="19">
        <v>8</v>
      </c>
      <c r="E3" s="19">
        <v>8</v>
      </c>
      <c r="F3" s="19">
        <v>8</v>
      </c>
      <c r="G3" s="19">
        <v>8</v>
      </c>
      <c r="H3" s="19"/>
      <c r="I3" s="19"/>
      <c r="J3" s="19">
        <v>8</v>
      </c>
      <c r="K3" s="19">
        <v>8</v>
      </c>
      <c r="L3" s="19">
        <v>8</v>
      </c>
      <c r="M3" s="19">
        <v>8</v>
      </c>
      <c r="N3" s="19">
        <v>8</v>
      </c>
      <c r="O3" s="19"/>
      <c r="P3" s="19"/>
      <c r="Q3" s="19">
        <v>8</v>
      </c>
      <c r="R3" s="19">
        <v>8</v>
      </c>
      <c r="S3" s="19">
        <v>8</v>
      </c>
      <c r="T3" s="19">
        <v>8</v>
      </c>
      <c r="U3" s="19">
        <v>8</v>
      </c>
      <c r="V3" s="19"/>
      <c r="W3" s="19"/>
      <c r="X3" s="19">
        <v>8</v>
      </c>
      <c r="Y3" s="19">
        <v>8</v>
      </c>
      <c r="Z3" s="19">
        <v>8</v>
      </c>
      <c r="AA3" s="19">
        <v>8</v>
      </c>
      <c r="AB3" s="19">
        <v>8</v>
      </c>
      <c r="AC3" s="19"/>
      <c r="AD3" s="19"/>
      <c r="AE3" s="19">
        <v>8</v>
      </c>
      <c r="AF3" s="19">
        <v>8</v>
      </c>
      <c r="AG3" s="19">
        <v>8</v>
      </c>
      <c r="AH3" s="19">
        <v>8</v>
      </c>
      <c r="AI3" s="26">
        <f t="shared" ref="AI3:AI33" si="1">SUM(D3:AH3)</f>
        <v>184</v>
      </c>
    </row>
    <row r="4" spans="1:35" s="27" customFormat="1">
      <c r="A4" s="35"/>
      <c r="B4" s="36"/>
      <c r="C4" s="35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0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26">
        <f>SUM(D7:AH7)</f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>
        <f t="shared" si="3"/>
        <v>8</v>
      </c>
      <c r="I30" s="14">
        <f t="shared" si="3"/>
        <v>8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>
        <f t="shared" si="3"/>
        <v>8</v>
      </c>
      <c r="P30" s="14">
        <f t="shared" si="3"/>
        <v>8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>
        <f t="shared" si="3"/>
        <v>8</v>
      </c>
      <c r="W30" s="14">
        <f t="shared" si="3"/>
        <v>8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>
        <f t="shared" si="3"/>
        <v>8</v>
      </c>
      <c r="AD30" s="14">
        <f t="shared" si="3"/>
        <v>8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S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>SUBTOTAL(109,T3:T33)</f>
        <v>8</v>
      </c>
      <c r="U34" s="32">
        <f>SUBTOTAL(109,U3:U33)</f>
        <v>8</v>
      </c>
      <c r="V34" s="32">
        <f>SUBTOTAL(109,V3:V33)</f>
        <v>8</v>
      </c>
      <c r="W34" s="32">
        <f>SUBTOTAL(109,W3:W33)</f>
        <v>8</v>
      </c>
      <c r="X34" s="32">
        <f>SUBTOTAL(109,X3:X33)</f>
        <v>8</v>
      </c>
      <c r="Y34" s="32">
        <f>SUBTOTAL(109,Y3:Y33)</f>
        <v>8</v>
      </c>
      <c r="Z34" s="32">
        <f>SUBTOTAL(109,Z3:Z33)</f>
        <v>8</v>
      </c>
      <c r="AA34" s="32">
        <f>SUBTOTAL(109,AA3:AA33)</f>
        <v>8</v>
      </c>
      <c r="AB34" s="32">
        <f>SUBTOTAL(109,AB3:AB33)</f>
        <v>8</v>
      </c>
      <c r="AC34" s="32">
        <f>SUBTOTAL(109,AC3:AC33)</f>
        <v>8</v>
      </c>
      <c r="AD34" s="32">
        <f>SUBTOTAL(109,AD3:AD33)</f>
        <v>8</v>
      </c>
      <c r="AE34" s="32">
        <f>SUBTOTAL(109,AE3:AE33)</f>
        <v>8</v>
      </c>
      <c r="AF34" s="32">
        <f>SUBTOTAL(109,AF3:AF33)</f>
        <v>8</v>
      </c>
      <c r="AG34" s="32">
        <f>SUBTOTAL(109,AG3:AG33)</f>
        <v>8</v>
      </c>
      <c r="AH34" s="32">
        <f>SUBTOTAL(109,AH3:AH33)</f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10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13" priority="11">
      <formula>MOD(ROW(),2)=0</formula>
    </cfRule>
    <cfRule type="expression" dxfId="12" priority="12">
      <formula>MOD(ROW(),2)=1</formula>
    </cfRule>
    <cfRule type="expression" dxfId="11" priority="20">
      <formula>_xludf.MOD(ROW(),2)=1</formula>
    </cfRule>
  </conditionalFormatting>
  <conditionalFormatting sqref="D2:AH29">
    <cfRule type="expression" dxfId="10" priority="8">
      <formula>AND((_xludf.MOD(COLUMN(),2)=1),(_xludf.MOD(ROW(),2)=1))</formula>
    </cfRule>
    <cfRule type="expression" dxfId="9" priority="14">
      <formula>_xludf.MOD(ROW(),2)=0</formula>
    </cfRule>
    <cfRule type="expression" dxfId="8" priority="17">
      <formula>_xludf.MOD(ROW(),2)=1</formula>
    </cfRule>
  </conditionalFormatting>
  <conditionalFormatting sqref="D3:AI29">
    <cfRule type="expression" dxfId="7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2014-03-04T12:07:42Z</dcterms:modified>
</cp:coreProperties>
</file>