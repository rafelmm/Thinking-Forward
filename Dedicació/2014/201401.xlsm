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195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D30" i="1"/>
  <c r="AI12"/>
  <c r="AI13"/>
  <c r="AI14"/>
  <c r="C1"/>
  <c r="D2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L30"/>
  <c r="L34" s="1"/>
  <c r="K34"/>
  <c r="N2" l="1"/>
  <c r="M30"/>
  <c r="O2" l="1"/>
  <c r="N30"/>
  <c r="N34" s="1"/>
  <c r="M34"/>
  <c r="P2" l="1"/>
  <c r="O30"/>
  <c r="O34" s="1"/>
  <c r="Q2" l="1"/>
  <c r="P30"/>
  <c r="P34" s="1"/>
  <c r="R2" l="1"/>
  <c r="Q34"/>
  <c r="S2" l="1"/>
  <c r="R34"/>
  <c r="T2" l="1"/>
  <c r="S34"/>
  <c r="U2" l="1"/>
  <c r="T30"/>
  <c r="T34" s="1"/>
  <c r="V2" l="1"/>
  <c r="U30"/>
  <c r="U34" s="1"/>
  <c r="W2" l="1"/>
  <c r="V30"/>
  <c r="V34" s="1"/>
  <c r="X2" l="1"/>
  <c r="W30"/>
  <c r="W34" s="1"/>
  <c r="Y2" l="1"/>
  <c r="X30"/>
  <c r="X34" s="1"/>
  <c r="Z2" l="1"/>
  <c r="Y30"/>
  <c r="Y34" s="1"/>
  <c r="AA2" l="1"/>
  <c r="Z30"/>
  <c r="Z34" s="1"/>
  <c r="AB2" l="1"/>
  <c r="AA30"/>
  <c r="AA34" s="1"/>
  <c r="AC2" l="1"/>
  <c r="AB30"/>
  <c r="AB34" s="1"/>
  <c r="AD2" l="1"/>
  <c r="AC30"/>
  <c r="AC34" s="1"/>
  <c r="AE2" l="1"/>
  <c r="AD30"/>
  <c r="AD34" s="1"/>
  <c r="AE30" l="1"/>
  <c r="AE34" s="1"/>
  <c r="AG2"/>
  <c r="AG30" s="1"/>
  <c r="AG34" s="1"/>
  <c r="AH2"/>
  <c r="AF2"/>
  <c r="AF30" s="1"/>
  <c r="AF34" s="1"/>
  <c r="AH34" l="1"/>
  <c r="AI30"/>
  <c r="AI34" s="1"/>
</calcChain>
</file>

<file path=xl/sharedStrings.xml><?xml version="1.0" encoding="utf-8"?>
<sst xmlns="http://schemas.openxmlformats.org/spreadsheetml/2006/main" count="41" uniqueCount="36">
  <si>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</si>
  <si>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</si>
  <si>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</si>
  <si>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</si>
  <si>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</si>
  <si>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</si>
  <si>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</si>
  <si>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</si>
  <si>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</si>
  <si>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</si>
  <si>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</si>
  <si>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</si>
  <si>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</si>
  <si>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</si>
  <si>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</si>
  <si>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</si>
  <si>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</si>
  <si>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</si>
  <si>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</si>
  <si>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</si>
  <si>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</si>
  <si>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</si>
  <si>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</si>
  <si>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</si>
  <si>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</si>
  <si>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</si>
  <si>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</si>
  <si>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</si>
  <si>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MAGI_1401</t>
  </si>
  <si>
    <t>TFSER_CORE_1311</t>
  </si>
  <si>
    <t>Documentació</t>
  </si>
  <si>
    <t>TFSER_CORE_1311_T4</t>
  </si>
  <si>
    <t>Preparació de presentació</t>
  </si>
  <si>
    <t>Reunió</t>
  </si>
  <si>
    <t>Documentació de projecte</t>
  </si>
  <si>
    <t>SENDA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</si>
</sst>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C8" sqref="C8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41640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41640</v>
      </c>
      <c r="E2" s="20">
        <f>D2+1</f>
        <v>41641</v>
      </c>
      <c r="F2" s="20">
        <f t="shared" ref="F2:AE2" si="0">E2+1</f>
        <v>41642</v>
      </c>
      <c r="G2" s="20">
        <f t="shared" si="0"/>
        <v>41643</v>
      </c>
      <c r="H2" s="20">
        <f t="shared" si="0"/>
        <v>41644</v>
      </c>
      <c r="I2" s="20">
        <f t="shared" si="0"/>
        <v>41645</v>
      </c>
      <c r="J2" s="20">
        <f t="shared" si="0"/>
        <v>41646</v>
      </c>
      <c r="K2" s="20">
        <f t="shared" si="0"/>
        <v>41647</v>
      </c>
      <c r="L2" s="20">
        <f t="shared" si="0"/>
        <v>41648</v>
      </c>
      <c r="M2" s="20">
        <f t="shared" si="0"/>
        <v>41649</v>
      </c>
      <c r="N2" s="20">
        <f t="shared" si="0"/>
        <v>41650</v>
      </c>
      <c r="O2" s="20">
        <f t="shared" si="0"/>
        <v>41651</v>
      </c>
      <c r="P2" s="20">
        <f t="shared" si="0"/>
        <v>41652</v>
      </c>
      <c r="Q2" s="20">
        <f t="shared" si="0"/>
        <v>41653</v>
      </c>
      <c r="R2" s="20">
        <f t="shared" si="0"/>
        <v>41654</v>
      </c>
      <c r="S2" s="20">
        <f t="shared" si="0"/>
        <v>41655</v>
      </c>
      <c r="T2" s="20">
        <f t="shared" si="0"/>
        <v>41656</v>
      </c>
      <c r="U2" s="20">
        <f t="shared" si="0"/>
        <v>41657</v>
      </c>
      <c r="V2" s="20">
        <f t="shared" si="0"/>
        <v>41658</v>
      </c>
      <c r="W2" s="20">
        <f t="shared" si="0"/>
        <v>41659</v>
      </c>
      <c r="X2" s="20">
        <f t="shared" si="0"/>
        <v>41660</v>
      </c>
      <c r="Y2" s="20">
        <f t="shared" si="0"/>
        <v>41661</v>
      </c>
      <c r="Z2" s="20">
        <f t="shared" si="0"/>
        <v>41662</v>
      </c>
      <c r="AA2" s="20">
        <f t="shared" si="0"/>
        <v>41663</v>
      </c>
      <c r="AB2" s="20">
        <f t="shared" si="0"/>
        <v>41664</v>
      </c>
      <c r="AC2" s="20">
        <f t="shared" si="0"/>
        <v>41665</v>
      </c>
      <c r="AD2" s="20">
        <f t="shared" si="0"/>
        <v>41666</v>
      </c>
      <c r="AE2" s="20">
        <f t="shared" si="0"/>
        <v>41667</v>
      </c>
      <c r="AF2" s="20">
        <f>IF(MONTH(AE2+1)=$B$35,AE2+1," ")</f>
        <v>41668</v>
      </c>
      <c r="AG2" s="20">
        <f>IF(MONTH(AE2+2)=$B$35,AE2+2," ")</f>
        <v>41669</v>
      </c>
      <c r="AH2" s="20">
        <f>IF(MONTH(AE2+3)=$B$35,AE2+3," ")</f>
        <v>41670</v>
      </c>
      <c r="AI2" s="4" t="s">
        <v>0</v>
      </c>
    </row>
    <row r="3" spans="1:35" s="27" customFormat="1" ht="15.75" thickTop="1">
      <c r="A3" s="34" t="s">
        <v>29</v>
      </c>
      <c r="B3" s="33"/>
      <c r="C3" s="33" t="s">
        <v>30</v>
      </c>
      <c r="D3" s="19"/>
      <c r="E3" s="19"/>
      <c r="F3" s="19"/>
      <c r="G3" s="19"/>
      <c r="H3" s="19"/>
      <c r="I3" s="19"/>
      <c r="J3" s="19">
        <v>8</v>
      </c>
      <c r="K3" s="19">
        <v>4</v>
      </c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12</v>
      </c>
    </row>
    <row r="4" spans="1:35" s="27" customFormat="1">
      <c r="A4" s="35" t="s">
        <v>29</v>
      </c>
      <c r="B4" s="36"/>
      <c r="C4" s="36" t="s">
        <v>31</v>
      </c>
      <c r="D4" s="17"/>
      <c r="E4" s="17"/>
      <c r="F4" s="17"/>
      <c r="G4" s="17"/>
      <c r="H4" s="17"/>
      <c r="I4" s="17"/>
      <c r="J4" s="17"/>
      <c r="K4" s="17">
        <v>4</v>
      </c>
      <c r="L4" s="17">
        <v>8</v>
      </c>
      <c r="M4" s="17">
        <v>8</v>
      </c>
      <c r="N4" s="17"/>
      <c r="O4" s="17"/>
      <c r="P4" s="17">
        <v>8</v>
      </c>
      <c r="Q4" s="17"/>
      <c r="R4" s="17">
        <v>4</v>
      </c>
      <c r="S4" s="17"/>
      <c r="T4" s="17"/>
      <c r="U4" s="17"/>
      <c r="V4" s="17"/>
      <c r="W4" s="17"/>
      <c r="X4" s="17"/>
      <c r="Y4" s="17">
        <v>8</v>
      </c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40</v>
      </c>
    </row>
    <row r="5" spans="1:35" s="27" customFormat="1">
      <c r="A5" s="34" t="s">
        <v>28</v>
      </c>
      <c r="B5" s="33"/>
      <c r="C5" s="33" t="s">
        <v>32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>
        <v>8</v>
      </c>
      <c r="R5" s="17">
        <v>4</v>
      </c>
      <c r="S5" s="17">
        <v>4</v>
      </c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16</v>
      </c>
    </row>
    <row r="6" spans="1:35" s="27" customFormat="1">
      <c r="A6" s="35" t="s">
        <v>28</v>
      </c>
      <c r="B6" s="36"/>
      <c r="C6" s="36" t="s">
        <v>33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>
        <v>4</v>
      </c>
      <c r="T6" s="17">
        <v>3</v>
      </c>
      <c r="U6" s="17"/>
      <c r="V6" s="17"/>
      <c r="W6" s="17">
        <v>2</v>
      </c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9</v>
      </c>
    </row>
    <row r="7" spans="1:35" s="27" customFormat="1">
      <c r="A7" s="34" t="s">
        <v>28</v>
      </c>
      <c r="B7" s="33"/>
      <c r="C7" s="33" t="s">
        <v>34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>
        <v>5</v>
      </c>
      <c r="U7" s="17"/>
      <c r="V7" s="17"/>
      <c r="W7" s="17">
        <v>6</v>
      </c>
      <c r="X7" s="17">
        <v>8</v>
      </c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19</v>
      </c>
    </row>
    <row r="8" spans="1:35" s="27" customFormat="1">
      <c r="A8" s="35" t="s">
        <v>35</v>
      </c>
      <c r="B8" s="36"/>
      <c r="C8" s="36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>
        <v>8</v>
      </c>
      <c r="AA8" s="17">
        <v>8</v>
      </c>
      <c r="AB8" s="17"/>
      <c r="AC8" s="17"/>
      <c r="AD8" s="17">
        <v>8</v>
      </c>
      <c r="AE8" s="17">
        <v>8</v>
      </c>
      <c r="AF8" s="17">
        <v>8</v>
      </c>
      <c r="AG8" s="17">
        <v>8</v>
      </c>
      <c r="AH8" s="17">
        <v>8</v>
      </c>
      <c r="AI8" s="26">
        <f t="shared" si="2"/>
        <v>56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>
        <v>8</v>
      </c>
      <c r="E28" s="17"/>
      <c r="F28" s="17"/>
      <c r="G28" s="17"/>
      <c r="H28" s="17"/>
      <c r="I28" s="17">
        <v>8</v>
      </c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16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 t="str">
        <f t="shared" si="3"/>
        <v xml:space="preserve"> </v>
      </c>
      <c r="F30" s="14" t="str">
        <f t="shared" si="3"/>
        <v xml:space="preserve"> </v>
      </c>
      <c r="G30" s="14">
        <f t="shared" si="3"/>
        <v>8</v>
      </c>
      <c r="H30" s="14">
        <f t="shared" si="3"/>
        <v>8</v>
      </c>
      <c r="I30" s="14" t="str">
        <f t="shared" si="3"/>
        <v xml:space="preserve"> </v>
      </c>
      <c r="J30" s="14" t="str">
        <f t="shared" si="3"/>
        <v xml:space="preserve"> </v>
      </c>
      <c r="K30" s="14" t="str">
        <f t="shared" si="3"/>
        <v xml:space="preserve"> </v>
      </c>
      <c r="L30" s="14" t="str">
        <f t="shared" si="3"/>
        <v xml:space="preserve"> </v>
      </c>
      <c r="M30" s="14" t="str">
        <f t="shared" si="3"/>
        <v xml:space="preserve"> </v>
      </c>
      <c r="N30" s="14">
        <f t="shared" si="3"/>
        <v>8</v>
      </c>
      <c r="O30" s="14">
        <f t="shared" si="3"/>
        <v>8</v>
      </c>
      <c r="P30" s="14" t="str">
        <f t="shared" si="3"/>
        <v xml:space="preserve"> </v>
      </c>
      <c r="Q30" s="14"/>
      <c r="R30" s="14"/>
      <c r="S30" s="14"/>
      <c r="T30" s="14" t="str">
        <f t="shared" si="3"/>
        <v xml:space="preserve"> </v>
      </c>
      <c r="U30" s="14">
        <f t="shared" si="3"/>
        <v>8</v>
      </c>
      <c r="V30" s="14">
        <f t="shared" si="3"/>
        <v>8</v>
      </c>
      <c r="W30" s="14" t="str">
        <f t="shared" si="3"/>
        <v xml:space="preserve"> </v>
      </c>
      <c r="X30" s="14" t="str">
        <f t="shared" si="3"/>
        <v xml:space="preserve"> </v>
      </c>
      <c r="Y30" s="14" t="str">
        <f t="shared" si="3"/>
        <v xml:space="preserve"> </v>
      </c>
      <c r="Z30" s="14" t="str">
        <f t="shared" si="3"/>
        <v xml:space="preserve"> </v>
      </c>
      <c r="AA30" s="14" t="str">
        <f t="shared" si="3"/>
        <v xml:space="preserve"> </v>
      </c>
      <c r="AB30" s="14">
        <f t="shared" si="3"/>
        <v>8</v>
      </c>
      <c r="AC30" s="14">
        <f t="shared" si="3"/>
        <v>8</v>
      </c>
      <c r="AD30" s="14" t="str">
        <f t="shared" si="3"/>
        <v xml:space="preserve"> 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/>
      <c r="AI30" s="28">
        <f t="shared" si="1"/>
        <v>64</v>
      </c>
    </row>
    <row r="31" spans="1:35" s="40" customFormat="1">
      <c r="A31" s="37"/>
      <c r="B31" s="37"/>
      <c r="C31" s="9" t="s">
        <v>4</v>
      </c>
      <c r="D31" s="38"/>
      <c r="E31" s="38">
        <v>8</v>
      </c>
      <c r="F31" s="38">
        <v>8</v>
      </c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16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8</v>
      </c>
      <c r="AI34" s="31">
        <f>SUBTOTAL(109,AI3:AI33)</f>
        <v>248</v>
      </c>
    </row>
    <row r="35" spans="1:35" ht="29.25" customHeight="1">
      <c r="A35" s="24" t="s">
        <v>23</v>
      </c>
      <c r="B35" s="22">
        <v>1</v>
      </c>
    </row>
    <row r="36" spans="1:35" ht="30.75" customHeight="1">
      <c r="A36" s="25" t="s">
        <v>24</v>
      </c>
      <c r="B36" s="23">
        <v>2014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2014-03-05T07:34:13Z</dcterms:modified>
</cp:coreProperties>
</file>