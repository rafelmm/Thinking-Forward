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M30" s="1"/>
  <c r="L30"/>
  <c r="L34" s="1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Z34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0" s="1"/>
  <c r="AG34" s="1"/>
  <c r="AH2"/>
  <c r="AH30" s="1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<sst xmlns="http://schemas.openxmlformats.org/spreadsheetml/2006/main" count="36" uniqueCount="32">
  <si>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</si>
  <si>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</si>
  <si>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</si>
  <si>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</si>
  <si>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</si>
  <si>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</si>
  <si>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</si>
  <si>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</si>
  <si>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</si>
  <si>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</si>
  <si>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</si>
  <si>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</si>
  <si>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</si>
  <si>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</si>
  <si>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</si>
  <si>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</si>
  <si>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</si>
  <si>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</si>
  <si>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</si>
  <si>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</si>
  <si>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</si>
  <si>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</si>
  <si>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</si>
  <si>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</si>
  <si>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</si>
  <si>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</si>
  <si>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</si>
  <si>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</si>
  <si>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</si>
  <si>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MAGI_1401_T13_140203</t>
  </si>
  <si>
    <t>MAGI_1401_T14_140203</t>
  </si>
  <si>
    <t>visita TMB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</si>
</sst>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topLeftCell="C1" workbookViewId="0">
      <selection activeCell="AB6" sqref="AB6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41791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41791</v>
      </c>
      <c r="E2" s="20">
        <f>D2+1</f>
        <v>41792</v>
      </c>
      <c r="F2" s="20">
        <f t="shared" ref="F2:AE2" si="0">E2+1</f>
        <v>41793</v>
      </c>
      <c r="G2" s="20">
        <f t="shared" si="0"/>
        <v>41794</v>
      </c>
      <c r="H2" s="20">
        <f t="shared" si="0"/>
        <v>41795</v>
      </c>
      <c r="I2" s="20">
        <f t="shared" si="0"/>
        <v>41796</v>
      </c>
      <c r="J2" s="20">
        <f t="shared" si="0"/>
        <v>41797</v>
      </c>
      <c r="K2" s="20">
        <f t="shared" si="0"/>
        <v>41798</v>
      </c>
      <c r="L2" s="20">
        <f t="shared" si="0"/>
        <v>41799</v>
      </c>
      <c r="M2" s="20">
        <f t="shared" si="0"/>
        <v>41800</v>
      </c>
      <c r="N2" s="20">
        <f t="shared" si="0"/>
        <v>41801</v>
      </c>
      <c r="O2" s="20">
        <f t="shared" si="0"/>
        <v>41802</v>
      </c>
      <c r="P2" s="20">
        <f t="shared" si="0"/>
        <v>41803</v>
      </c>
      <c r="Q2" s="20">
        <f t="shared" si="0"/>
        <v>41804</v>
      </c>
      <c r="R2" s="20">
        <f t="shared" si="0"/>
        <v>41805</v>
      </c>
      <c r="S2" s="20">
        <f t="shared" si="0"/>
        <v>41806</v>
      </c>
      <c r="T2" s="20">
        <f t="shared" si="0"/>
        <v>41807</v>
      </c>
      <c r="U2" s="20">
        <f t="shared" si="0"/>
        <v>41808</v>
      </c>
      <c r="V2" s="20">
        <f t="shared" si="0"/>
        <v>41809</v>
      </c>
      <c r="W2" s="20">
        <f t="shared" si="0"/>
        <v>41810</v>
      </c>
      <c r="X2" s="20">
        <f t="shared" si="0"/>
        <v>41811</v>
      </c>
      <c r="Y2" s="20">
        <f t="shared" si="0"/>
        <v>41812</v>
      </c>
      <c r="Z2" s="20">
        <f t="shared" si="0"/>
        <v>41813</v>
      </c>
      <c r="AA2" s="20">
        <f t="shared" si="0"/>
        <v>41814</v>
      </c>
      <c r="AB2" s="20">
        <f t="shared" si="0"/>
        <v>41815</v>
      </c>
      <c r="AC2" s="20">
        <f t="shared" si="0"/>
        <v>41816</v>
      </c>
      <c r="AD2" s="20">
        <f t="shared" si="0"/>
        <v>41817</v>
      </c>
      <c r="AE2" s="20">
        <f t="shared" si="0"/>
        <v>41818</v>
      </c>
      <c r="AF2" s="20">
        <f>IF(MONTH(AE2+1)=$B$35,AE2+1," ")</f>
        <v>41819</v>
      </c>
      <c r="AG2" s="20">
        <f>IF(MONTH(AE2+2)=$B$35,AE2+2," ")</f>
        <v>41820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/>
      <c r="E3" s="19"/>
      <c r="F3" s="19"/>
      <c r="G3" s="19"/>
      <c r="H3" s="19">
        <v>8</v>
      </c>
      <c r="I3" s="19">
        <v>8</v>
      </c>
      <c r="J3" s="19"/>
      <c r="K3" s="19"/>
      <c r="L3" s="19"/>
      <c r="M3" s="19">
        <v>8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24</v>
      </c>
    </row>
    <row r="4" spans="1:35" s="27" customFormat="1">
      <c r="A4" s="35" t="s">
        <v>28</v>
      </c>
      <c r="B4" s="36"/>
      <c r="C4" s="35" t="s">
        <v>30</v>
      </c>
      <c r="D4" s="17"/>
      <c r="E4" s="17">
        <v>8</v>
      </c>
      <c r="F4" s="17">
        <v>8</v>
      </c>
      <c r="G4" s="17">
        <v>8</v>
      </c>
      <c r="H4" s="17"/>
      <c r="I4" s="17"/>
      <c r="J4" s="17"/>
      <c r="K4" s="17"/>
      <c r="L4" s="17"/>
      <c r="M4" s="17"/>
      <c r="N4" s="17">
        <v>8</v>
      </c>
      <c r="O4" s="17">
        <v>8</v>
      </c>
      <c r="P4" s="17">
        <v>8</v>
      </c>
      <c r="Q4" s="17"/>
      <c r="R4" s="17"/>
      <c r="S4" s="17">
        <v>8</v>
      </c>
      <c r="T4" s="17">
        <v>5</v>
      </c>
      <c r="U4" s="17">
        <v>8</v>
      </c>
      <c r="V4" s="17">
        <v>8</v>
      </c>
      <c r="W4" s="17">
        <v>8</v>
      </c>
      <c r="X4" s="17"/>
      <c r="Y4" s="17"/>
      <c r="Z4" s="17">
        <v>6</v>
      </c>
      <c r="AA4" s="17"/>
      <c r="AB4" s="17">
        <v>8</v>
      </c>
      <c r="AC4" s="17">
        <v>4</v>
      </c>
      <c r="AD4" s="17">
        <v>8</v>
      </c>
      <c r="AE4" s="17"/>
      <c r="AF4" s="17"/>
      <c r="AG4" s="17">
        <v>8</v>
      </c>
      <c r="AH4" s="17"/>
      <c r="AI4" s="26">
        <f t="shared" si="1"/>
        <v>119</v>
      </c>
    </row>
    <row r="5" spans="1:35" s="27" customFormat="1">
      <c r="A5" s="34" t="s">
        <v>28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>
        <v>3</v>
      </c>
      <c r="U5" s="17"/>
      <c r="V5" s="17"/>
      <c r="W5" s="17"/>
      <c r="X5" s="17"/>
      <c r="Y5" s="17"/>
      <c r="Z5" s="17">
        <v>2</v>
      </c>
      <c r="AA5" s="17"/>
      <c r="AB5" s="17"/>
      <c r="AC5" s="17">
        <v>4</v>
      </c>
      <c r="AD5" s="17"/>
      <c r="AE5" s="17"/>
      <c r="AF5" s="17"/>
      <c r="AG5" s="17"/>
      <c r="AH5" s="17"/>
      <c r="AI5" s="26">
        <f t="shared" si="1"/>
        <v>9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>
        <v>8</v>
      </c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>
        <v>8</v>
      </c>
      <c r="AB28" s="17"/>
      <c r="AC28" s="17"/>
      <c r="AD28" s="17"/>
      <c r="AE28" s="17"/>
      <c r="AF28" s="17"/>
      <c r="AG28" s="17"/>
      <c r="AH28" s="17"/>
      <c r="AI28" s="26">
        <f t="shared" si="1"/>
        <v>16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f t="shared" ref="D30:AE30" si="3">IF(WEEKDAY(D2,2)&gt;5,8," ")</f>
        <v>8</v>
      </c>
      <c r="E30" s="14" t="str">
        <f t="shared" si="3"/>
        <v xml:space="preserve"> 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>
        <f t="shared" si="3"/>
        <v>8</v>
      </c>
      <c r="K30" s="14">
        <f t="shared" si="3"/>
        <v>8</v>
      </c>
      <c r="L30" s="14" t="str">
        <f t="shared" si="3"/>
        <v xml:space="preserve"> 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>
        <f t="shared" si="3"/>
        <v>8</v>
      </c>
      <c r="R30" s="14">
        <f t="shared" si="3"/>
        <v>8</v>
      </c>
      <c r="S30" s="14" t="str">
        <f t="shared" si="3"/>
        <v xml:space="preserve"> 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>
        <f t="shared" si="3"/>
        <v>8</v>
      </c>
      <c r="Y30" s="14">
        <f t="shared" si="3"/>
        <v>8</v>
      </c>
      <c r="Z30" s="14" t="str">
        <f t="shared" si="3"/>
        <v xml:space="preserve"> 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>
        <f t="shared" si="3"/>
        <v>8</v>
      </c>
      <c r="AF30" s="14">
        <f>IF(MONTH(AE2+1)=$B$35,IF(WEEKDAY(AF2,2)&gt;5,8," ")," ")</f>
        <v>8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72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240</v>
      </c>
    </row>
    <row r="35" spans="1:35" ht="29.25" customHeight="1">
      <c r="A35" s="24" t="s">
        <v>23</v>
      </c>
      <c r="B35" s="22">
        <v>6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2014-07-16T12:46:26Z</dcterms:modified>
</cp:coreProperties>
</file>