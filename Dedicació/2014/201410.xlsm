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<sst xmlns="http://schemas.openxmlformats.org/spreadsheetml/2006/main" count="34" uniqueCount="32">
  <si>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</si>
  <si>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</si>
  <si>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</si>
  <si>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</si>
  <si>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</si>
  <si>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</si>
  <si>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</si>
  <si>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</si>
  <si>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</si>
  <si>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</si>
  <si>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</si>
  <si>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</si>
  <si>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</si>
  <si>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</si>
  <si>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</si>
  <si>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</si>
  <si>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</si>
  <si>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</si>
  <si>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</si>
  <si>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</si>
  <si>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</si>
  <si>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</si>
  <si>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</si>
  <si>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</si>
  <si>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</si>
  <si>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</si>
  <si>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</si>
  <si>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</si>
  <si>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MAGI_1401_T6_141001</t>
  </si>
  <si>
    <t>MAGI_1401</t>
  </si>
  <si>
    <t xml:space="preserve">Visita TMB </t>
  </si>
  <si>
    <t>Reparar controladora monofasica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</si>
</sst>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U5" sqref="U5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41913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41913</v>
      </c>
      <c r="E2" s="20">
        <f>D2+1</f>
        <v>41914</v>
      </c>
      <c r="F2" s="20">
        <f t="shared" ref="F2:AE2" si="0">E2+1</f>
        <v>41915</v>
      </c>
      <c r="G2" s="20">
        <f t="shared" si="0"/>
        <v>41916</v>
      </c>
      <c r="H2" s="20">
        <f t="shared" si="0"/>
        <v>41917</v>
      </c>
      <c r="I2" s="20">
        <f t="shared" si="0"/>
        <v>41918</v>
      </c>
      <c r="J2" s="20">
        <f t="shared" si="0"/>
        <v>41919</v>
      </c>
      <c r="K2" s="20">
        <f t="shared" si="0"/>
        <v>41920</v>
      </c>
      <c r="L2" s="20">
        <f t="shared" si="0"/>
        <v>41921</v>
      </c>
      <c r="M2" s="20">
        <f t="shared" si="0"/>
        <v>41922</v>
      </c>
      <c r="N2" s="20">
        <f t="shared" si="0"/>
        <v>41923</v>
      </c>
      <c r="O2" s="20">
        <f t="shared" si="0"/>
        <v>41924</v>
      </c>
      <c r="P2" s="20">
        <f t="shared" si="0"/>
        <v>41925</v>
      </c>
      <c r="Q2" s="20">
        <f t="shared" si="0"/>
        <v>41926</v>
      </c>
      <c r="R2" s="20">
        <f t="shared" si="0"/>
        <v>41927</v>
      </c>
      <c r="S2" s="20">
        <f t="shared" si="0"/>
        <v>41928</v>
      </c>
      <c r="T2" s="20">
        <f t="shared" si="0"/>
        <v>41929</v>
      </c>
      <c r="U2" s="20">
        <f t="shared" si="0"/>
        <v>41930</v>
      </c>
      <c r="V2" s="20">
        <f t="shared" si="0"/>
        <v>41931</v>
      </c>
      <c r="W2" s="20">
        <f t="shared" si="0"/>
        <v>41932</v>
      </c>
      <c r="X2" s="20">
        <f t="shared" si="0"/>
        <v>41933</v>
      </c>
      <c r="Y2" s="20">
        <f t="shared" si="0"/>
        <v>41934</v>
      </c>
      <c r="Z2" s="20">
        <f t="shared" si="0"/>
        <v>41935</v>
      </c>
      <c r="AA2" s="20">
        <f t="shared" si="0"/>
        <v>41936</v>
      </c>
      <c r="AB2" s="20">
        <f t="shared" si="0"/>
        <v>41937</v>
      </c>
      <c r="AC2" s="20">
        <f t="shared" si="0"/>
        <v>41938</v>
      </c>
      <c r="AD2" s="20">
        <f t="shared" si="0"/>
        <v>41939</v>
      </c>
      <c r="AE2" s="20">
        <f t="shared" si="0"/>
        <v>41940</v>
      </c>
      <c r="AF2" s="20">
        <f>IF(MONTH(AE2+1)=$B$35,AE2+1," ")</f>
        <v>41941</v>
      </c>
      <c r="AG2" s="20">
        <f>IF(MONTH(AE2+2)=$B$35,AE2+2," ")</f>
        <v>41942</v>
      </c>
      <c r="AH2" s="20">
        <f>IF(MONTH(AE2+3)=$B$35,AE2+3," ")</f>
        <v>41943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>
        <v>6</v>
      </c>
      <c r="E3" s="19">
        <v>8</v>
      </c>
      <c r="F3" s="19">
        <v>6</v>
      </c>
      <c r="G3" s="19"/>
      <c r="H3" s="19"/>
      <c r="I3" s="19">
        <v>8</v>
      </c>
      <c r="J3" s="19">
        <v>8</v>
      </c>
      <c r="K3" s="19">
        <v>8</v>
      </c>
      <c r="L3" s="19">
        <v>8</v>
      </c>
      <c r="M3" s="19">
        <v>8</v>
      </c>
      <c r="N3" s="19"/>
      <c r="O3" s="19"/>
      <c r="P3" s="19">
        <v>8</v>
      </c>
      <c r="Q3" s="19">
        <v>8</v>
      </c>
      <c r="R3" s="19">
        <v>8</v>
      </c>
      <c r="S3" s="19">
        <v>4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>
        <v>8</v>
      </c>
      <c r="AG3" s="19">
        <v>8</v>
      </c>
      <c r="AH3" s="19"/>
      <c r="AI3" s="26">
        <f t="shared" ref="AI3:AI33" si="1">SUM(D3:AH3)</f>
        <v>104</v>
      </c>
    </row>
    <row r="4" spans="1:35" s="27" customFormat="1">
      <c r="A4" s="35"/>
      <c r="B4" s="36"/>
      <c r="C4" s="35" t="s">
        <v>30</v>
      </c>
      <c r="D4" s="17">
        <v>2</v>
      </c>
      <c r="E4" s="17"/>
      <c r="F4" s="17">
        <v>2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4</v>
      </c>
    </row>
    <row r="5" spans="1:35" s="27" customFormat="1">
      <c r="A5" s="34"/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>
        <v>4</v>
      </c>
      <c r="T5" s="17">
        <v>8</v>
      </c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12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>
        <f t="shared" si="3"/>
        <v>8</v>
      </c>
      <c r="H30" s="14">
        <f t="shared" si="3"/>
        <v>8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>
        <f t="shared" si="3"/>
        <v>8</v>
      </c>
      <c r="O30" s="14">
        <f t="shared" si="3"/>
        <v>8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>
        <f t="shared" si="3"/>
        <v>8</v>
      </c>
      <c r="V30" s="14">
        <f t="shared" si="3"/>
        <v>8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>
        <f t="shared" si="3"/>
        <v>8</v>
      </c>
      <c r="AC30" s="14">
        <f t="shared" si="3"/>
        <v>8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0</v>
      </c>
      <c r="X34" s="32">
        <f t="shared" si="4"/>
        <v>0</v>
      </c>
      <c r="Y34" s="32">
        <f t="shared" si="4"/>
        <v>0</v>
      </c>
      <c r="Z34" s="32">
        <f t="shared" si="4"/>
        <v>0</v>
      </c>
      <c r="AA34" s="32">
        <f t="shared" si="4"/>
        <v>0</v>
      </c>
      <c r="AB34" s="32">
        <f t="shared" si="4"/>
        <v>8</v>
      </c>
      <c r="AC34" s="32">
        <f t="shared" si="4"/>
        <v>8</v>
      </c>
      <c r="AD34" s="32">
        <f t="shared" si="4"/>
        <v>0</v>
      </c>
      <c r="AE34" s="32">
        <f t="shared" si="4"/>
        <v>0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184</v>
      </c>
    </row>
    <row r="35" spans="1:35" ht="29.25" customHeight="1">
      <c r="A35" s="24" t="s">
        <v>23</v>
      </c>
      <c r="B35" s="22">
        <v>10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2014-10-17T12:23:36Z</dcterms:modified>
</cp:coreProperties>
</file>