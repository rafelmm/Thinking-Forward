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tables/table5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360" yWindow="300" windowWidth="14880" windowHeight="7815" tabRatio="195"/>
  </bookViews>
  <sheets>
    <sheet name="Hoja1" sheetId="1" r:id="rId1"/>
    <sheet name="Hoja2" sheetId="2" r:id="rId2"/>
    <sheet name="Hoja3" sheetId="3" r:id="rId3"/>
  </sheets>
  <definedNames>
    <definedName name="_xlnm._FilterDatabase" localSheetId="0" hidden="1">Hoja1!$A$2:$B$32</definedName>
  </definedNames>
  <calcPr calcId="125725"/>
</workbook>
</file>

<file path=xl/calcChain.xml><?xml version="1.0" encoding="utf-8"?>
<calcChain xmlns="http://schemas.openxmlformats.org/spreadsheetml/2006/main">
  <c r="AH30" i="1"/>
  <c r="AG30"/>
  <c r="M30"/>
  <c r="N30"/>
  <c r="O30"/>
  <c r="P30"/>
  <c r="Q30"/>
  <c r="R30"/>
  <c r="S30"/>
  <c r="T30"/>
  <c r="U30"/>
  <c r="V30"/>
  <c r="W30"/>
  <c r="X30"/>
  <c r="D30"/>
  <c r="AI12"/>
  <c r="AI13"/>
  <c r="AI14"/>
  <c r="C1"/>
  <c r="D2"/>
  <c r="AI28"/>
  <c r="AI27"/>
  <c r="AI26"/>
  <c r="AI25"/>
  <c r="AI24"/>
  <c r="AI23"/>
  <c r="AI22"/>
  <c r="E2" l="1"/>
  <c r="D34"/>
  <c r="AI3"/>
  <c r="AI33"/>
  <c r="AI32"/>
  <c r="AI31"/>
  <c r="AI21"/>
  <c r="AI20"/>
  <c r="AI19"/>
  <c r="AI18"/>
  <c r="AI17"/>
  <c r="AI16"/>
  <c r="AI15"/>
  <c r="AI11"/>
  <c r="AI10"/>
  <c r="AI9"/>
  <c r="AI8"/>
  <c r="AI7"/>
  <c r="AI6"/>
  <c r="AI5"/>
  <c r="AI4"/>
  <c r="F2" l="1"/>
  <c r="E30"/>
  <c r="E34" s="1"/>
  <c r="G2" l="1"/>
  <c r="F30"/>
  <c r="F34" s="1"/>
  <c r="H2" l="1"/>
  <c r="G30"/>
  <c r="I2" l="1"/>
  <c r="H30"/>
  <c r="H34" s="1"/>
  <c r="G34"/>
  <c r="J2" l="1"/>
  <c r="I30"/>
  <c r="K2" l="1"/>
  <c r="J30"/>
  <c r="J34" s="1"/>
  <c r="I34"/>
  <c r="L2" l="1"/>
  <c r="K30"/>
  <c r="M2" l="1"/>
  <c r="L30"/>
  <c r="L34" s="1"/>
  <c r="K34"/>
  <c r="N2" l="1"/>
  <c r="O2" l="1"/>
  <c r="N34"/>
  <c r="M34"/>
  <c r="P2" l="1"/>
  <c r="O34"/>
  <c r="Q2" l="1"/>
  <c r="P34"/>
  <c r="R2" l="1"/>
  <c r="Q34"/>
  <c r="S2" l="1"/>
  <c r="R34"/>
  <c r="T2" l="1"/>
  <c r="S34"/>
  <c r="U2" l="1"/>
  <c r="T34"/>
  <c r="V2" l="1"/>
  <c r="U34"/>
  <c r="W2" l="1"/>
  <c r="V34"/>
  <c r="X2" l="1"/>
  <c r="W34"/>
  <c r="Y2" l="1"/>
  <c r="X34"/>
  <c r="Z2" l="1"/>
  <c r="Y30"/>
  <c r="Y34" s="1"/>
  <c r="AA2" l="1"/>
  <c r="Z30"/>
  <c r="Z34" s="1"/>
  <c r="AB2" l="1"/>
  <c r="AA30"/>
  <c r="AA34" s="1"/>
  <c r="AC2" l="1"/>
  <c r="AB30"/>
  <c r="AB34" s="1"/>
  <c r="AD2" l="1"/>
  <c r="AC30"/>
  <c r="AC34" s="1"/>
  <c r="AE2" l="1"/>
  <c r="AD30"/>
  <c r="AD34" s="1"/>
  <c r="AE30" l="1"/>
  <c r="AE34" s="1"/>
  <c r="AG2"/>
  <c r="AG34" s="1"/>
  <c r="AH2"/>
  <c r="AF2"/>
  <c r="AF30" s="1"/>
  <c r="AF34" s="1"/>
  <c r="AH34" l="1"/>
  <c r="AI30"/>
  <c r="AI34" s="1"/>
</calcChain>
</file>

<file path=xl/sharedStrings.xml><?xml version="1.0" encoding="utf-8"?>
<sst xmlns="http://schemas.openxmlformats.org/spreadsheetml/2006/main" count="51" uniqueCount="45">
  <si>
    <t>Horas total tareas</t>
  </si>
  <si>
    <t>Total Horas Día</t>
  </si>
  <si>
    <t>Tarea</t>
  </si>
  <si>
    <t>REF. Modif</t>
  </si>
  <si>
    <t>Vacaciones</t>
  </si>
  <si>
    <t>Enfermedad</t>
  </si>
  <si>
    <t>Otras Ausencias</t>
  </si>
  <si>
    <t>Fin de semana</t>
  </si>
  <si>
    <t>Columna1</t>
  </si>
  <si>
    <t>Columna2</t>
  </si>
  <si>
    <t>Columna3</t>
  </si>
  <si>
    <t>Columna4</t>
  </si>
  <si>
    <t>Columna5</t>
  </si>
  <si>
    <t>Columna6</t>
  </si>
  <si>
    <t>Columna7</t>
  </si>
  <si>
    <t>Columna8</t>
  </si>
  <si>
    <t>Columna9</t>
  </si>
  <si>
    <t>Columna10</t>
  </si>
  <si>
    <t>Columna11</t>
  </si>
  <si>
    <t>Columna12</t>
  </si>
  <si>
    <t>Columna13</t>
  </si>
  <si>
    <t>as</t>
  </si>
  <si>
    <t>PROYECTO</t>
  </si>
  <si>
    <t>Mes</t>
  </si>
  <si>
    <t xml:space="preserve">Año </t>
  </si>
  <si>
    <t>Ausencia por trabajo la noche anterior</t>
  </si>
  <si>
    <t>Día festivo</t>
  </si>
  <si>
    <t>Horas Dedicación Rafel</t>
  </si>
  <si>
    <t>MAGI_1401</t>
  </si>
  <si>
    <t>Reunió</t>
  </si>
  <si>
    <t>Documentació de projecte</t>
  </si>
  <si>
    <t>RTSENDA</t>
  </si>
  <si>
    <t>Versiones ECON</t>
  </si>
  <si>
    <t>Visita FGC</t>
  </si>
  <si>
    <t>MAGI_1401_T1</t>
  </si>
  <si>
    <t>Motor Monofásico</t>
  </si>
  <si>
    <t>Reparación motor</t>
  </si>
  <si>
    <t>TFSER_CORE</t>
  </si>
  <si>
    <t>Corrección comprobar bloqueo ECON</t>
  </si>
  <si>
    <t>MAGI_1401_T2</t>
  </si>
  <si>
    <t>OpenProject</t>
  </si>
  <si>
    <t>Visita TMB</t>
  </si>
  <si>
    <t>Bugs client</t>
  </si>
  <si>
    <t>ADIF Madrid</t>
  </si>
  <si>
    <t>MAGI_1401_T5</t>
  </si>
</sst>
</file>

<file path=xl/styles.xml><?xml version="1.0" encoding="utf-8"?>
<styleSheet xmlns="http://schemas.openxmlformats.org/spreadsheetml/2006/main">
  <numFmts count="2">
    <numFmt numFmtId="164" formatCode="dd"/>
    <numFmt numFmtId="165" formatCode="mmmm"/>
  </numFmts>
  <fonts count="1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4.9989318521683403E-2"/>
      </top>
      <bottom style="thick">
        <color theme="0" tint="-4.9989318521683403E-2"/>
      </bottom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7">
    <xf numFmtId="0" fontId="0" fillId="0" borderId="0"/>
    <xf numFmtId="0" fontId="2" fillId="2" borderId="0" applyNumberFormat="0" applyBorder="0" applyAlignment="0" applyProtection="0"/>
    <xf numFmtId="0" fontId="1" fillId="3" borderId="0" applyNumberFormat="0" applyBorder="0" applyAlignment="0" applyProtection="0"/>
    <xf numFmtId="0" fontId="2" fillId="4" borderId="0" applyNumberFormat="0" applyBorder="0" applyAlignment="0" applyProtection="0"/>
    <xf numFmtId="0" fontId="1" fillId="5" borderId="0" applyNumberFormat="0" applyBorder="0" applyAlignment="0" applyProtection="0"/>
    <xf numFmtId="0" fontId="2" fillId="6" borderId="0" applyNumberFormat="0" applyBorder="0" applyAlignment="0" applyProtection="0"/>
    <xf numFmtId="0" fontId="2" fillId="7" borderId="0" applyNumberFormat="0" applyBorder="0" applyAlignment="0" applyProtection="0"/>
  </cellStyleXfs>
  <cellXfs count="46">
    <xf numFmtId="0" fontId="0" fillId="0" borderId="0" xfId="0"/>
    <xf numFmtId="0" fontId="0" fillId="0" borderId="0" xfId="0" applyBorder="1"/>
    <xf numFmtId="0" fontId="2" fillId="4" borderId="1" xfId="3" applyBorder="1"/>
    <xf numFmtId="0" fontId="0" fillId="0" borderId="0" xfId="0" applyAlignment="1">
      <alignment vertical="center"/>
    </xf>
    <xf numFmtId="0" fontId="4" fillId="2" borderId="4" xfId="1" applyFont="1" applyBorder="1"/>
    <xf numFmtId="0" fontId="1" fillId="5" borderId="5" xfId="4" applyBorder="1"/>
    <xf numFmtId="0" fontId="1" fillId="5" borderId="1" xfId="4" applyBorder="1"/>
    <xf numFmtId="0" fontId="2" fillId="7" borderId="0" xfId="6" applyBorder="1"/>
    <xf numFmtId="0" fontId="1" fillId="5" borderId="6" xfId="4" applyBorder="1"/>
    <xf numFmtId="0" fontId="8" fillId="6" borderId="6" xfId="5" applyFont="1" applyBorder="1"/>
    <xf numFmtId="0" fontId="8" fillId="4" borderId="6" xfId="3" applyFont="1" applyBorder="1"/>
    <xf numFmtId="0" fontId="8" fillId="7" borderId="2" xfId="6" applyFont="1" applyBorder="1"/>
    <xf numFmtId="0" fontId="4" fillId="2" borderId="2" xfId="1" applyFont="1" applyBorder="1" applyAlignment="1">
      <alignment horizontal="right" indent="2"/>
    </xf>
    <xf numFmtId="0" fontId="0" fillId="0" borderId="0" xfId="0" applyBorder="1" applyAlignment="1"/>
    <xf numFmtId="0" fontId="1" fillId="5" borderId="7" xfId="4" applyBorder="1"/>
    <xf numFmtId="0" fontId="2" fillId="4" borderId="7" xfId="3" applyBorder="1"/>
    <xf numFmtId="0" fontId="2" fillId="7" borderId="7" xfId="6" applyBorder="1"/>
    <xf numFmtId="0" fontId="0" fillId="0" borderId="8" xfId="0" applyBorder="1"/>
    <xf numFmtId="0" fontId="0" fillId="0" borderId="8" xfId="0" applyNumberFormat="1" applyBorder="1"/>
    <xf numFmtId="0" fontId="0" fillId="0" borderId="9" xfId="0" applyBorder="1"/>
    <xf numFmtId="164" fontId="6" fillId="8" borderId="10" xfId="0" applyNumberFormat="1" applyFont="1" applyFill="1" applyBorder="1"/>
    <xf numFmtId="165" fontId="3" fillId="2" borderId="0" xfId="1" applyNumberFormat="1" applyFont="1" applyBorder="1" applyAlignment="1">
      <alignment horizontal="left" vertical="center"/>
    </xf>
    <xf numFmtId="0" fontId="0" fillId="9" borderId="11" xfId="0" applyFill="1" applyBorder="1"/>
    <xf numFmtId="0" fontId="0" fillId="10" borderId="11" xfId="0" applyFill="1" applyBorder="1"/>
    <xf numFmtId="0" fontId="9" fillId="9" borderId="11" xfId="0" applyFont="1" applyFill="1" applyBorder="1"/>
    <xf numFmtId="0" fontId="9" fillId="10" borderId="11" xfId="0" applyFont="1" applyFill="1" applyBorder="1"/>
    <xf numFmtId="0" fontId="7" fillId="3" borderId="4" xfId="2" applyFont="1" applyBorder="1" applyAlignment="1">
      <alignment horizontal="center"/>
    </xf>
    <xf numFmtId="0" fontId="7" fillId="0" borderId="0" xfId="0" applyFont="1"/>
    <xf numFmtId="0" fontId="7" fillId="5" borderId="4" xfId="4" applyFont="1" applyBorder="1" applyAlignment="1">
      <alignment horizontal="center"/>
    </xf>
    <xf numFmtId="0" fontId="7" fillId="4" borderId="4" xfId="3" applyFont="1" applyBorder="1" applyAlignment="1">
      <alignment horizontal="center"/>
    </xf>
    <xf numFmtId="0" fontId="7" fillId="7" borderId="4" xfId="6" applyFont="1" applyBorder="1" applyAlignment="1">
      <alignment horizontal="center"/>
    </xf>
    <xf numFmtId="0" fontId="7" fillId="4" borderId="7" xfId="3" applyFont="1" applyBorder="1" applyAlignment="1">
      <alignment horizontal="center" vertical="center"/>
    </xf>
    <xf numFmtId="0" fontId="1" fillId="4" borderId="7" xfId="3" applyFont="1" applyBorder="1"/>
    <xf numFmtId="0" fontId="1" fillId="3" borderId="1" xfId="2" applyBorder="1"/>
    <xf numFmtId="0" fontId="0" fillId="3" borderId="1" xfId="2" applyFont="1" applyBorder="1"/>
    <xf numFmtId="0" fontId="0" fillId="11" borderId="1" xfId="2" applyFont="1" applyFill="1" applyBorder="1"/>
    <xf numFmtId="0" fontId="1" fillId="11" borderId="1" xfId="2" applyFill="1" applyBorder="1"/>
    <xf numFmtId="0" fontId="8" fillId="6" borderId="1" xfId="5" applyFont="1" applyBorder="1"/>
    <xf numFmtId="0" fontId="8" fillId="6" borderId="7" xfId="5" applyFont="1" applyBorder="1"/>
    <xf numFmtId="0" fontId="10" fillId="6" borderId="4" xfId="5" applyFont="1" applyBorder="1" applyAlignment="1">
      <alignment horizontal="center"/>
    </xf>
    <xf numFmtId="0" fontId="10" fillId="0" borderId="0" xfId="0" applyFont="1"/>
    <xf numFmtId="0" fontId="0" fillId="0" borderId="0" xfId="0" applyFont="1"/>
    <xf numFmtId="0" fontId="0" fillId="0" borderId="8" xfId="0" applyFont="1" applyBorder="1"/>
    <xf numFmtId="0" fontId="11" fillId="0" borderId="8" xfId="0" applyFont="1" applyBorder="1"/>
    <xf numFmtId="0" fontId="0" fillId="0" borderId="0" xfId="0" applyFont="1" applyBorder="1"/>
    <xf numFmtId="0" fontId="3" fillId="2" borderId="3" xfId="1" applyFont="1" applyBorder="1" applyAlignment="1">
      <alignment horizontal="center" vertical="center"/>
    </xf>
  </cellXfs>
  <cellStyles count="7">
    <cellStyle name="40% - Énfasis1" xfId="2" builtinId="31"/>
    <cellStyle name="40% - Énfasis3" xfId="4" builtinId="39"/>
    <cellStyle name="60% - Énfasis1" xfId="3" builtinId="32"/>
    <cellStyle name="60% - Énfasis3" xfId="5" builtinId="40"/>
    <cellStyle name="Énfasis1" xfId="1" builtinId="29"/>
    <cellStyle name="Énfasis5" xfId="6" builtinId="45"/>
    <cellStyle name="Normal" xfId="0" builtinId="0"/>
  </cellStyles>
  <dxfs count="10"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border outline="0">
        <right style="thin">
          <color theme="0" tint="-0.24994659260841701"/>
        </right>
        <bottom style="thin">
          <color theme="0" tint="-0.24994659260841701"/>
        </bottom>
      </border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3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id="6" name="Tabla6" displayName="Tabla6" ref="A2:A33" totalsRowShown="0" tableBorderDxfId="2">
  <autoFilter ref="A2:A33"/>
  <tableColumns count="1">
    <tableColumn id="1" name="PROYECTO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10" name="Tabla10" displayName="Tabla10" ref="B2:B33" totalsRowShown="0" tableBorderDxfId="1">
  <autoFilter ref="B2:B33"/>
  <tableColumns count="1">
    <tableColumn id="1" name="REF. Modif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1" name="Tabla11" displayName="Tabla11" ref="C2:C29" totalsRowShown="0" tableBorderDxfId="0">
  <autoFilter ref="C2:C29"/>
  <tableColumns count="1">
    <tableColumn id="1" name="Tarea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4" name="Tabla4" displayName="Tabla4" ref="A3:A12" totalsRowShown="0">
  <autoFilter ref="A3:A12"/>
  <tableColumns count="1">
    <tableColumn id="1" name="Columna1"/>
  </tableColumns>
  <tableStyleInfo name="TableStyleLight1" showFirstColumn="0" showLastColumn="0" showRowStripes="1" showColumnStripes="0"/>
</table>
</file>

<file path=xl/tables/table5.xml><?xml version="1.0" encoding="utf-8"?>
<table xmlns="http://schemas.openxmlformats.org/spreadsheetml/2006/main" id="9" name="Tabla9" displayName="Tabla9" ref="C3:O13" totalsRowShown="0">
  <autoFilter ref="C3:O13"/>
  <tableColumns count="13">
    <tableColumn id="1" name="Columna1"/>
    <tableColumn id="2" name="Columna2"/>
    <tableColumn id="3" name="Columna3"/>
    <tableColumn id="4" name="Columna4"/>
    <tableColumn id="5" name="Columna5"/>
    <tableColumn id="6" name="Columna6"/>
    <tableColumn id="7" name="Columna7"/>
    <tableColumn id="8" name="Columna8"/>
    <tableColumn id="9" name="Columna9"/>
    <tableColumn id="10" name="Columna10"/>
    <tableColumn id="11" name="Columna11"/>
    <tableColumn id="12" name="Columna12"/>
    <tableColumn id="13" name="Columna13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AI37"/>
  <sheetViews>
    <sheetView tabSelected="1" workbookViewId="0">
      <selection activeCell="AH31" sqref="AH31"/>
    </sheetView>
  </sheetViews>
  <sheetFormatPr baseColWidth="10" defaultColWidth="0" defaultRowHeight="15"/>
  <cols>
    <col min="1" max="1" width="21.140625" customWidth="1"/>
    <col min="2" max="2" width="19.140625" customWidth="1"/>
    <col min="3" max="3" width="62.5703125" customWidth="1"/>
    <col min="4" max="34" width="3.42578125" customWidth="1"/>
    <col min="35" max="35" width="22.140625" customWidth="1"/>
    <col min="36" max="16384" width="65" hidden="1"/>
  </cols>
  <sheetData>
    <row r="1" spans="1:35" ht="43.5" customHeight="1">
      <c r="A1" s="45" t="s">
        <v>27</v>
      </c>
      <c r="B1" s="45"/>
      <c r="C1" s="21">
        <f>DATE(B36,B35,1)</f>
        <v>41671</v>
      </c>
      <c r="D1" s="13"/>
      <c r="E1" s="13"/>
      <c r="F1" s="13"/>
      <c r="G1" s="13"/>
      <c r="H1" s="13"/>
      <c r="I1" s="13"/>
      <c r="J1" s="13"/>
      <c r="K1" s="13"/>
      <c r="L1" s="13"/>
      <c r="M1" s="13"/>
      <c r="N1" s="13"/>
      <c r="O1" s="13"/>
      <c r="P1" s="13"/>
      <c r="Q1" s="13"/>
      <c r="R1" s="13"/>
      <c r="S1" s="13"/>
      <c r="T1" s="13"/>
      <c r="U1" s="13"/>
      <c r="V1" s="13"/>
      <c r="W1" s="13"/>
      <c r="X1" s="13"/>
      <c r="Y1" s="13"/>
      <c r="Z1" s="13"/>
      <c r="AA1" s="13"/>
      <c r="AB1" s="13"/>
      <c r="AC1" s="13"/>
      <c r="AD1" s="13"/>
      <c r="AE1" s="13"/>
      <c r="AF1" s="13"/>
      <c r="AG1" s="13"/>
      <c r="AH1" s="13"/>
      <c r="AI1" s="1"/>
    </row>
    <row r="2" spans="1:35" ht="19.5" thickBot="1">
      <c r="A2" t="s">
        <v>22</v>
      </c>
      <c r="B2" t="s">
        <v>3</v>
      </c>
      <c r="C2" t="s">
        <v>2</v>
      </c>
      <c r="D2" s="20">
        <f>DATE(B36,B35,1)</f>
        <v>41671</v>
      </c>
      <c r="E2" s="20">
        <f>D2+1</f>
        <v>41672</v>
      </c>
      <c r="F2" s="20">
        <f t="shared" ref="F2:AE2" si="0">E2+1</f>
        <v>41673</v>
      </c>
      <c r="G2" s="20">
        <f t="shared" si="0"/>
        <v>41674</v>
      </c>
      <c r="H2" s="20">
        <f t="shared" si="0"/>
        <v>41675</v>
      </c>
      <c r="I2" s="20">
        <f t="shared" si="0"/>
        <v>41676</v>
      </c>
      <c r="J2" s="20">
        <f t="shared" si="0"/>
        <v>41677</v>
      </c>
      <c r="K2" s="20">
        <f t="shared" si="0"/>
        <v>41678</v>
      </c>
      <c r="L2" s="20">
        <f t="shared" si="0"/>
        <v>41679</v>
      </c>
      <c r="M2" s="20">
        <f t="shared" si="0"/>
        <v>41680</v>
      </c>
      <c r="N2" s="20">
        <f t="shared" si="0"/>
        <v>41681</v>
      </c>
      <c r="O2" s="20">
        <f t="shared" si="0"/>
        <v>41682</v>
      </c>
      <c r="P2" s="20">
        <f t="shared" si="0"/>
        <v>41683</v>
      </c>
      <c r="Q2" s="20">
        <f t="shared" si="0"/>
        <v>41684</v>
      </c>
      <c r="R2" s="20">
        <f t="shared" si="0"/>
        <v>41685</v>
      </c>
      <c r="S2" s="20">
        <f t="shared" si="0"/>
        <v>41686</v>
      </c>
      <c r="T2" s="20">
        <f t="shared" si="0"/>
        <v>41687</v>
      </c>
      <c r="U2" s="20">
        <f t="shared" si="0"/>
        <v>41688</v>
      </c>
      <c r="V2" s="20">
        <f t="shared" si="0"/>
        <v>41689</v>
      </c>
      <c r="W2" s="20">
        <f t="shared" si="0"/>
        <v>41690</v>
      </c>
      <c r="X2" s="20">
        <f t="shared" si="0"/>
        <v>41691</v>
      </c>
      <c r="Y2" s="20">
        <f t="shared" si="0"/>
        <v>41692</v>
      </c>
      <c r="Z2" s="20">
        <f t="shared" si="0"/>
        <v>41693</v>
      </c>
      <c r="AA2" s="20">
        <f t="shared" si="0"/>
        <v>41694</v>
      </c>
      <c r="AB2" s="20">
        <f t="shared" si="0"/>
        <v>41695</v>
      </c>
      <c r="AC2" s="20">
        <f t="shared" si="0"/>
        <v>41696</v>
      </c>
      <c r="AD2" s="20">
        <f t="shared" si="0"/>
        <v>41697</v>
      </c>
      <c r="AE2" s="20">
        <f t="shared" si="0"/>
        <v>41698</v>
      </c>
      <c r="AF2" s="20" t="str">
        <f>IF(MONTH(AE2+1)=$B$35,AE2+1," ")</f>
        <v xml:space="preserve"> </v>
      </c>
      <c r="AG2" s="20" t="str">
        <f>IF(MONTH(AE2+2)=$B$35,AE2+2," ")</f>
        <v xml:space="preserve"> </v>
      </c>
      <c r="AH2" s="20" t="str">
        <f>IF(MONTH(AE2+3)=$B$35,AE2+3," ")</f>
        <v xml:space="preserve"> </v>
      </c>
      <c r="AI2" s="4" t="s">
        <v>0</v>
      </c>
    </row>
    <row r="3" spans="1:35" s="27" customFormat="1" ht="15.75" thickTop="1">
      <c r="A3" s="34" t="s">
        <v>31</v>
      </c>
      <c r="B3" s="33"/>
      <c r="C3" s="33" t="s">
        <v>32</v>
      </c>
      <c r="D3" s="19"/>
      <c r="E3" s="19"/>
      <c r="F3" s="19"/>
      <c r="G3" s="19">
        <v>8</v>
      </c>
      <c r="H3" s="19">
        <v>8</v>
      </c>
      <c r="I3" s="19"/>
      <c r="J3" s="19">
        <v>3</v>
      </c>
      <c r="K3" s="19"/>
      <c r="L3" s="19"/>
      <c r="M3" s="19"/>
      <c r="N3" s="19"/>
      <c r="O3" s="19"/>
      <c r="P3" s="19">
        <v>8</v>
      </c>
      <c r="Q3" s="19">
        <v>6</v>
      </c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26">
        <f t="shared" ref="AI3:AI33" si="1">SUM(D3:AH3)</f>
        <v>33</v>
      </c>
    </row>
    <row r="4" spans="1:35" s="27" customFormat="1">
      <c r="A4" s="35" t="s">
        <v>28</v>
      </c>
      <c r="B4" s="36"/>
      <c r="C4" s="36" t="s">
        <v>29</v>
      </c>
      <c r="D4" s="17"/>
      <c r="E4" s="17"/>
      <c r="F4" s="17"/>
      <c r="G4" s="17"/>
      <c r="H4" s="17"/>
      <c r="I4" s="17"/>
      <c r="J4" s="17"/>
      <c r="K4" s="17"/>
      <c r="L4" s="17"/>
      <c r="M4" s="17"/>
      <c r="N4" s="17"/>
      <c r="O4" s="17"/>
      <c r="P4" s="17"/>
      <c r="Q4" s="17"/>
      <c r="R4" s="17"/>
      <c r="S4" s="17"/>
      <c r="T4" s="17">
        <v>4</v>
      </c>
      <c r="U4" s="17"/>
      <c r="V4" s="17"/>
      <c r="W4" s="17"/>
      <c r="X4" s="17"/>
      <c r="Y4" s="17"/>
      <c r="Z4" s="17"/>
      <c r="AA4" s="17"/>
      <c r="AB4" s="17"/>
      <c r="AC4" s="17"/>
      <c r="AD4" s="17"/>
      <c r="AE4" s="17"/>
      <c r="AF4" s="17"/>
      <c r="AG4" s="17"/>
      <c r="AH4" s="17"/>
      <c r="AI4" s="26">
        <f t="shared" si="1"/>
        <v>4</v>
      </c>
    </row>
    <row r="5" spans="1:35" s="27" customFormat="1">
      <c r="A5" s="34" t="s">
        <v>28</v>
      </c>
      <c r="B5" s="33"/>
      <c r="C5" s="33" t="s">
        <v>30</v>
      </c>
      <c r="D5" s="17"/>
      <c r="E5" s="17"/>
      <c r="F5" s="17">
        <v>5.5</v>
      </c>
      <c r="G5" s="17"/>
      <c r="H5" s="17"/>
      <c r="I5" s="17">
        <v>3</v>
      </c>
      <c r="J5" s="17"/>
      <c r="K5" s="17"/>
      <c r="L5" s="17"/>
      <c r="M5" s="17">
        <v>6.5</v>
      </c>
      <c r="N5" s="17">
        <v>5</v>
      </c>
      <c r="O5" s="17"/>
      <c r="P5" s="17"/>
      <c r="Q5" s="17"/>
      <c r="R5" s="17"/>
      <c r="S5" s="17"/>
      <c r="T5" s="17">
        <v>3</v>
      </c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26">
        <f t="shared" si="1"/>
        <v>23</v>
      </c>
    </row>
    <row r="6" spans="1:35" s="27" customFormat="1">
      <c r="A6" s="35" t="s">
        <v>33</v>
      </c>
      <c r="B6" s="36"/>
      <c r="C6" s="36"/>
      <c r="D6" s="17"/>
      <c r="E6" s="17"/>
      <c r="F6" s="17">
        <v>2.5</v>
      </c>
      <c r="G6" s="17"/>
      <c r="H6" s="17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26">
        <f t="shared" ref="AI6:AI15" si="2">SUM(D6:AH6)</f>
        <v>2.5</v>
      </c>
    </row>
    <row r="7" spans="1:35" s="27" customFormat="1">
      <c r="A7" s="34" t="s">
        <v>28</v>
      </c>
      <c r="B7" s="33"/>
      <c r="C7" s="33" t="s">
        <v>34</v>
      </c>
      <c r="D7" s="17"/>
      <c r="E7" s="17"/>
      <c r="F7" s="17"/>
      <c r="G7" s="17"/>
      <c r="H7" s="17"/>
      <c r="I7" s="17">
        <v>5</v>
      </c>
      <c r="J7" s="17"/>
      <c r="K7" s="17"/>
      <c r="L7" s="17"/>
      <c r="M7" s="17"/>
      <c r="N7" s="17">
        <v>3</v>
      </c>
      <c r="O7" s="17">
        <v>2</v>
      </c>
      <c r="P7" s="17"/>
      <c r="Q7" s="17"/>
      <c r="R7" s="17"/>
      <c r="S7" s="17"/>
      <c r="T7" s="17"/>
      <c r="U7" s="17">
        <v>6</v>
      </c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26">
        <f t="shared" si="2"/>
        <v>16</v>
      </c>
    </row>
    <row r="8" spans="1:35" s="27" customFormat="1">
      <c r="A8" s="35" t="s">
        <v>35</v>
      </c>
      <c r="B8" s="36"/>
      <c r="C8" s="36" t="s">
        <v>36</v>
      </c>
      <c r="D8" s="17"/>
      <c r="E8" s="17"/>
      <c r="F8" s="17"/>
      <c r="G8" s="17"/>
      <c r="H8" s="17"/>
      <c r="I8" s="17"/>
      <c r="J8" s="17">
        <v>5</v>
      </c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26">
        <f t="shared" si="2"/>
        <v>5</v>
      </c>
    </row>
    <row r="9" spans="1:35" s="27" customFormat="1">
      <c r="A9" s="34" t="s">
        <v>37</v>
      </c>
      <c r="B9" s="33"/>
      <c r="C9" s="33" t="s">
        <v>38</v>
      </c>
      <c r="D9" s="17"/>
      <c r="E9" s="17"/>
      <c r="F9" s="17"/>
      <c r="G9" s="42"/>
      <c r="H9" s="17"/>
      <c r="I9" s="17"/>
      <c r="J9" s="17"/>
      <c r="K9" s="17"/>
      <c r="L9" s="17"/>
      <c r="M9" s="17">
        <v>1.5</v>
      </c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26">
        <f t="shared" si="2"/>
        <v>1.5</v>
      </c>
    </row>
    <row r="10" spans="1:35" s="27" customFormat="1">
      <c r="A10" t="s">
        <v>28</v>
      </c>
      <c r="B10"/>
      <c r="C10" t="s">
        <v>39</v>
      </c>
      <c r="D10" s="17"/>
      <c r="E10" s="17"/>
      <c r="F10" s="17"/>
      <c r="G10" s="17"/>
      <c r="H10" s="17"/>
      <c r="I10" s="17"/>
      <c r="J10" s="17"/>
      <c r="K10" s="17"/>
      <c r="L10" s="17"/>
      <c r="M10" s="17"/>
      <c r="N10" s="17"/>
      <c r="O10" s="17">
        <v>6</v>
      </c>
      <c r="P10" s="17"/>
      <c r="Q10" s="17"/>
      <c r="R10" s="17"/>
      <c r="S10" s="17"/>
      <c r="T10" s="17"/>
      <c r="U10" s="17"/>
      <c r="V10" s="17"/>
      <c r="W10" s="17"/>
      <c r="X10" s="17"/>
      <c r="Y10" s="17"/>
      <c r="Z10" s="17"/>
      <c r="AA10" s="17"/>
      <c r="AB10" s="17"/>
      <c r="AC10" s="17"/>
      <c r="AD10" s="17"/>
      <c r="AE10" s="17"/>
      <c r="AF10" s="17"/>
      <c r="AG10" s="17"/>
      <c r="AH10" s="17"/>
      <c r="AI10" s="26">
        <f t="shared" si="2"/>
        <v>6</v>
      </c>
    </row>
    <row r="11" spans="1:35" s="27" customFormat="1">
      <c r="A11" t="s">
        <v>40</v>
      </c>
      <c r="B11"/>
      <c r="C11"/>
      <c r="D11" s="17"/>
      <c r="E11" s="17"/>
      <c r="F11" s="17"/>
      <c r="G11" s="17"/>
      <c r="H11" s="17"/>
      <c r="I11" s="17"/>
      <c r="J11" s="17"/>
      <c r="K11" s="17"/>
      <c r="L11" s="17"/>
      <c r="M11" s="17"/>
      <c r="N11" s="17"/>
      <c r="O11" s="17"/>
      <c r="P11" s="17"/>
      <c r="Q11" s="17">
        <v>2</v>
      </c>
      <c r="R11" s="17"/>
      <c r="S11" s="17"/>
      <c r="T11" s="17">
        <v>1</v>
      </c>
      <c r="U11" s="17"/>
      <c r="V11" s="17"/>
      <c r="W11" s="17"/>
      <c r="X11" s="17"/>
      <c r="Y11" s="17"/>
      <c r="Z11" s="17"/>
      <c r="AA11" s="17"/>
      <c r="AB11" s="17"/>
      <c r="AC11" s="17"/>
      <c r="AD11" s="17"/>
      <c r="AE11" s="17"/>
      <c r="AF11" s="17"/>
      <c r="AG11" s="17"/>
      <c r="AH11" s="17"/>
      <c r="AI11" s="26">
        <f t="shared" si="2"/>
        <v>3</v>
      </c>
    </row>
    <row r="12" spans="1:35" s="27" customFormat="1">
      <c r="A12" t="s">
        <v>41</v>
      </c>
      <c r="B12"/>
      <c r="C12"/>
      <c r="D12" s="17"/>
      <c r="E12" s="42"/>
      <c r="F12" s="17"/>
      <c r="G12" s="17"/>
      <c r="H12" s="17"/>
      <c r="I12" s="17"/>
      <c r="J12" s="17"/>
      <c r="K12" s="17"/>
      <c r="L12" s="17"/>
      <c r="M12" s="17"/>
      <c r="N12" s="17"/>
      <c r="O12" s="17"/>
      <c r="P12" s="17"/>
      <c r="Q12" s="17"/>
      <c r="R12" s="17"/>
      <c r="S12" s="17"/>
      <c r="T12" s="17"/>
      <c r="U12" s="17">
        <v>2</v>
      </c>
      <c r="V12" s="17"/>
      <c r="W12" s="17"/>
      <c r="X12" s="17"/>
      <c r="Y12" s="17"/>
      <c r="Z12" s="17"/>
      <c r="AA12" s="17"/>
      <c r="AB12" s="17"/>
      <c r="AC12" s="17"/>
      <c r="AD12" s="17"/>
      <c r="AE12" s="17"/>
      <c r="AF12" s="17"/>
      <c r="AG12" s="17"/>
      <c r="AH12" s="43"/>
      <c r="AI12" s="26">
        <f t="shared" si="2"/>
        <v>2</v>
      </c>
    </row>
    <row r="13" spans="1:35" s="27" customFormat="1">
      <c r="A13" t="s">
        <v>42</v>
      </c>
      <c r="B13"/>
      <c r="C13"/>
      <c r="D13" s="17"/>
      <c r="E13" s="17"/>
      <c r="F13" s="17"/>
      <c r="G13" s="17"/>
      <c r="H13" s="17"/>
      <c r="I13" s="17"/>
      <c r="J13" s="17"/>
      <c r="K13" s="17"/>
      <c r="L13" s="17"/>
      <c r="M13" s="17"/>
      <c r="N13" s="17"/>
      <c r="O13" s="17"/>
      <c r="P13" s="17"/>
      <c r="Q13" s="17"/>
      <c r="R13" s="17"/>
      <c r="S13" s="17"/>
      <c r="T13" s="17"/>
      <c r="U13" s="17"/>
      <c r="V13" s="17">
        <v>8</v>
      </c>
      <c r="W13" s="17">
        <v>8</v>
      </c>
      <c r="X13" s="17">
        <v>8</v>
      </c>
      <c r="Y13" s="17"/>
      <c r="Z13" s="17"/>
      <c r="AA13" s="17">
        <v>8</v>
      </c>
      <c r="AB13" s="17">
        <v>4</v>
      </c>
      <c r="AC13" s="17"/>
      <c r="AD13" s="17"/>
      <c r="AE13" s="17">
        <v>1</v>
      </c>
      <c r="AF13" s="17"/>
      <c r="AG13" s="17"/>
      <c r="AH13" s="17"/>
      <c r="AI13" s="26">
        <f t="shared" si="2"/>
        <v>37</v>
      </c>
    </row>
    <row r="14" spans="1:35" s="27" customFormat="1">
      <c r="A14" s="41" t="s">
        <v>43</v>
      </c>
      <c r="B14"/>
      <c r="C14"/>
      <c r="D14" s="17"/>
      <c r="E14" s="17"/>
      <c r="F14" s="17"/>
      <c r="G14" s="17"/>
      <c r="H14" s="17"/>
      <c r="I14" s="17"/>
      <c r="J14" s="17"/>
      <c r="K14" s="17"/>
      <c r="L14" s="17"/>
      <c r="M14" s="17"/>
      <c r="N14" s="17"/>
      <c r="O14" s="17"/>
      <c r="P14" s="17"/>
      <c r="Q14" s="17"/>
      <c r="R14" s="17"/>
      <c r="S14" s="17"/>
      <c r="T14" s="17"/>
      <c r="U14" s="17"/>
      <c r="V14" s="17"/>
      <c r="W14" s="17"/>
      <c r="X14" s="17"/>
      <c r="Y14" s="17"/>
      <c r="Z14" s="17"/>
      <c r="AA14" s="17"/>
      <c r="AB14" s="17">
        <v>4</v>
      </c>
      <c r="AC14" s="17">
        <v>8</v>
      </c>
      <c r="AD14" s="17"/>
      <c r="AE14" s="17"/>
      <c r="AF14" s="17"/>
      <c r="AG14" s="17"/>
      <c r="AH14" s="17"/>
      <c r="AI14" s="26">
        <f t="shared" si="2"/>
        <v>12</v>
      </c>
    </row>
    <row r="15" spans="1:35" s="27" customFormat="1">
      <c r="A15" t="s">
        <v>28</v>
      </c>
      <c r="B15" s="41"/>
      <c r="C15" s="41" t="s">
        <v>44</v>
      </c>
      <c r="D15" s="17"/>
      <c r="E15" s="17"/>
      <c r="F15" s="17"/>
      <c r="G15" s="17"/>
      <c r="H15" s="17"/>
      <c r="I15" s="17"/>
      <c r="J15" s="17"/>
      <c r="K15" s="17"/>
      <c r="L15" s="17"/>
      <c r="M15" s="17"/>
      <c r="N15" s="17"/>
      <c r="O15" s="17"/>
      <c r="P15" s="17"/>
      <c r="Q15" s="17"/>
      <c r="R15" s="17"/>
      <c r="S15" s="17"/>
      <c r="T15" s="17"/>
      <c r="U15" s="17"/>
      <c r="V15" s="17"/>
      <c r="W15" s="17"/>
      <c r="X15" s="17"/>
      <c r="Y15" s="17"/>
      <c r="Z15" s="17"/>
      <c r="AA15" s="17"/>
      <c r="AB15" s="17"/>
      <c r="AC15" s="17"/>
      <c r="AD15" s="17">
        <v>8</v>
      </c>
      <c r="AE15" s="17">
        <v>7</v>
      </c>
      <c r="AF15" s="17"/>
      <c r="AG15" s="17"/>
      <c r="AH15" s="17"/>
      <c r="AI15" s="26">
        <f t="shared" si="2"/>
        <v>15</v>
      </c>
    </row>
    <row r="16" spans="1:35" s="27" customFormat="1">
      <c r="A16"/>
      <c r="B16"/>
      <c r="C16"/>
      <c r="D16" s="17"/>
      <c r="E16" s="17"/>
      <c r="F16" s="17"/>
      <c r="G16" s="17"/>
      <c r="H16" s="17"/>
      <c r="I16" s="17"/>
      <c r="J16" s="17"/>
      <c r="K16" s="17"/>
      <c r="L16" s="17"/>
      <c r="M16" s="17"/>
      <c r="N16" s="17"/>
      <c r="O16" s="17"/>
      <c r="P16" s="17"/>
      <c r="Q16" s="17"/>
      <c r="R16" s="17"/>
      <c r="S16" s="17"/>
      <c r="T16" s="17"/>
      <c r="U16" s="17"/>
      <c r="V16" s="17"/>
      <c r="W16" s="17"/>
      <c r="X16" s="17"/>
      <c r="Y16" s="17"/>
      <c r="Z16" s="17"/>
      <c r="AA16" s="17"/>
      <c r="AB16" s="17"/>
      <c r="AC16" s="17"/>
      <c r="AD16" s="17"/>
      <c r="AE16" s="17"/>
      <c r="AF16" s="17"/>
      <c r="AG16" s="17"/>
      <c r="AH16" s="17"/>
      <c r="AI16" s="26">
        <f t="shared" si="1"/>
        <v>0</v>
      </c>
    </row>
    <row r="17" spans="1:35" s="27" customFormat="1">
      <c r="A17"/>
      <c r="B17"/>
      <c r="C17"/>
      <c r="D17" s="17"/>
      <c r="E17" s="17"/>
      <c r="F17" s="17"/>
      <c r="G17" s="17"/>
      <c r="H17" s="17"/>
      <c r="I17" s="17"/>
      <c r="J17" s="17"/>
      <c r="K17" s="17"/>
      <c r="L17" s="17"/>
      <c r="M17" s="17"/>
      <c r="N17" s="17"/>
      <c r="O17" s="17"/>
      <c r="P17" s="17"/>
      <c r="Q17" s="17"/>
      <c r="R17" s="17"/>
      <c r="S17" s="17"/>
      <c r="T17" s="17"/>
      <c r="U17" s="17"/>
      <c r="V17" s="17"/>
      <c r="W17" s="17"/>
      <c r="X17" s="17"/>
      <c r="Y17" s="17"/>
      <c r="Z17" s="17"/>
      <c r="AA17" s="17"/>
      <c r="AB17" s="17"/>
      <c r="AC17" s="17"/>
      <c r="AD17" s="17"/>
      <c r="AE17" s="17"/>
      <c r="AF17" s="17"/>
      <c r="AG17" s="17"/>
      <c r="AH17" s="17"/>
      <c r="AI17" s="26">
        <f t="shared" si="1"/>
        <v>0</v>
      </c>
    </row>
    <row r="18" spans="1:35" s="27" customFormat="1">
      <c r="A18" s="41"/>
      <c r="B18" s="44"/>
      <c r="C18"/>
      <c r="D18" s="17"/>
      <c r="E18" s="17"/>
      <c r="F18" s="17"/>
      <c r="G18" s="17"/>
      <c r="H18" s="17"/>
      <c r="I18" s="17"/>
      <c r="J18" s="17"/>
      <c r="K18" s="17"/>
      <c r="L18" s="17"/>
      <c r="M18" s="17"/>
      <c r="N18" s="17"/>
      <c r="O18" s="17"/>
      <c r="P18" s="17"/>
      <c r="Q18" s="17"/>
      <c r="R18" s="17"/>
      <c r="S18" s="17"/>
      <c r="T18" s="17"/>
      <c r="U18" s="17"/>
      <c r="V18" s="17"/>
      <c r="W18" s="17"/>
      <c r="X18" s="17"/>
      <c r="Y18" s="17"/>
      <c r="Z18" s="17"/>
      <c r="AA18" s="17"/>
      <c r="AB18" s="17"/>
      <c r="AC18" s="17"/>
      <c r="AD18" s="17"/>
      <c r="AE18" s="17"/>
      <c r="AF18" s="17"/>
      <c r="AG18" s="17"/>
      <c r="AH18" s="17"/>
      <c r="AI18" s="26">
        <f t="shared" si="1"/>
        <v>0</v>
      </c>
    </row>
    <row r="19" spans="1:35" s="27" customFormat="1">
      <c r="A19"/>
      <c r="B19"/>
      <c r="C19"/>
      <c r="D19" s="17"/>
      <c r="E19" s="17"/>
      <c r="F19" s="17"/>
      <c r="G19" s="17"/>
      <c r="H19" s="17"/>
      <c r="I19" s="17"/>
      <c r="J19" s="17"/>
      <c r="K19" s="17"/>
      <c r="L19" s="17"/>
      <c r="M19" s="17"/>
      <c r="N19" s="17"/>
      <c r="O19" s="17"/>
      <c r="P19" s="17"/>
      <c r="Q19" s="17"/>
      <c r="R19" s="17"/>
      <c r="S19" s="17"/>
      <c r="T19" s="17"/>
      <c r="U19" s="17"/>
      <c r="V19" s="17"/>
      <c r="W19" s="17"/>
      <c r="X19" s="17"/>
      <c r="Y19" s="17"/>
      <c r="Z19" s="17"/>
      <c r="AA19" s="17"/>
      <c r="AB19" s="17"/>
      <c r="AC19" s="17"/>
      <c r="AD19" s="17"/>
      <c r="AE19" s="17"/>
      <c r="AF19" s="17"/>
      <c r="AG19" s="17"/>
      <c r="AH19" s="17"/>
      <c r="AI19" s="26">
        <f t="shared" si="1"/>
        <v>0</v>
      </c>
    </row>
    <row r="20" spans="1:35" s="27" customFormat="1">
      <c r="A20"/>
      <c r="B20"/>
      <c r="C20"/>
      <c r="D20" s="17"/>
      <c r="E20" s="17"/>
      <c r="F20" s="17"/>
      <c r="G20" s="17"/>
      <c r="H20" s="17"/>
      <c r="I20" s="17"/>
      <c r="J20" s="17"/>
      <c r="K20" s="17"/>
      <c r="L20" s="17"/>
      <c r="M20" s="17"/>
      <c r="N20" s="17"/>
      <c r="O20" s="17"/>
      <c r="P20" s="17"/>
      <c r="Q20" s="17"/>
      <c r="R20" s="17"/>
      <c r="S20" s="17"/>
      <c r="T20" s="17"/>
      <c r="U20" s="17"/>
      <c r="V20" s="17"/>
      <c r="W20" s="17"/>
      <c r="X20" s="17"/>
      <c r="Y20" s="17"/>
      <c r="Z20" s="17"/>
      <c r="AA20" s="17"/>
      <c r="AB20" s="17"/>
      <c r="AC20" s="17"/>
      <c r="AD20" s="17"/>
      <c r="AE20" s="17"/>
      <c r="AF20" s="17"/>
      <c r="AG20" s="17"/>
      <c r="AH20" s="17"/>
      <c r="AI20" s="26">
        <f t="shared" si="1"/>
        <v>0</v>
      </c>
    </row>
    <row r="21" spans="1:35" s="27" customFormat="1">
      <c r="A21"/>
      <c r="B21"/>
      <c r="C21"/>
      <c r="D21" s="17"/>
      <c r="E21" s="17"/>
      <c r="F21" s="17"/>
      <c r="G21" s="17"/>
      <c r="H21" s="17"/>
      <c r="I21" s="17"/>
      <c r="J21" s="17"/>
      <c r="K21" s="17"/>
      <c r="L21" s="17"/>
      <c r="M21" s="17"/>
      <c r="N21" s="17"/>
      <c r="O21" s="17"/>
      <c r="P21" s="17"/>
      <c r="Q21" s="17"/>
      <c r="R21" s="17"/>
      <c r="S21" s="17"/>
      <c r="T21" s="17"/>
      <c r="U21" s="17"/>
      <c r="V21" s="17"/>
      <c r="W21" s="17"/>
      <c r="X21" s="17"/>
      <c r="Y21" s="17"/>
      <c r="Z21" s="17"/>
      <c r="AA21" s="17"/>
      <c r="AB21" s="17"/>
      <c r="AC21" s="17"/>
      <c r="AD21" s="17"/>
      <c r="AE21" s="17"/>
      <c r="AF21" s="17"/>
      <c r="AG21" s="17"/>
      <c r="AH21" s="17"/>
      <c r="AI21" s="26">
        <f t="shared" si="1"/>
        <v>0</v>
      </c>
    </row>
    <row r="22" spans="1:35" s="27" customFormat="1">
      <c r="A22"/>
      <c r="B22"/>
      <c r="C22"/>
      <c r="D22" s="17"/>
      <c r="E22" s="17"/>
      <c r="F22" s="17"/>
      <c r="G22" s="17"/>
      <c r="H22" s="17"/>
      <c r="I22" s="17"/>
      <c r="J22" s="17"/>
      <c r="K22" s="17"/>
      <c r="L22" s="17"/>
      <c r="M22" s="17"/>
      <c r="N22" s="17"/>
      <c r="O22" s="17"/>
      <c r="P22" s="17"/>
      <c r="Q22" s="17"/>
      <c r="R22" s="17"/>
      <c r="S22" s="17"/>
      <c r="T22" s="17"/>
      <c r="U22" s="17"/>
      <c r="V22" s="17"/>
      <c r="W22" s="17"/>
      <c r="X22" s="17"/>
      <c r="Y22" s="17"/>
      <c r="Z22" s="17"/>
      <c r="AA22" s="17"/>
      <c r="AB22" s="17"/>
      <c r="AC22" s="17"/>
      <c r="AD22" s="17"/>
      <c r="AE22" s="17"/>
      <c r="AF22" s="17"/>
      <c r="AG22" s="17"/>
      <c r="AH22" s="17"/>
      <c r="AI22" s="26">
        <f t="shared" si="1"/>
        <v>0</v>
      </c>
    </row>
    <row r="23" spans="1:35" s="27" customFormat="1">
      <c r="A23"/>
      <c r="B23"/>
      <c r="C23"/>
      <c r="D23" s="17"/>
      <c r="E23" s="17"/>
      <c r="F23" s="17"/>
      <c r="G23" s="17"/>
      <c r="H23" s="17"/>
      <c r="I23" s="17"/>
      <c r="J23" s="17"/>
      <c r="K23" s="17"/>
      <c r="L23" s="17"/>
      <c r="M23" s="17"/>
      <c r="N23" s="17"/>
      <c r="O23" s="17"/>
      <c r="P23" s="17"/>
      <c r="Q23" s="17"/>
      <c r="R23" s="17"/>
      <c r="S23" s="17"/>
      <c r="T23" s="17"/>
      <c r="U23" s="17"/>
      <c r="V23" s="17"/>
      <c r="W23" s="17"/>
      <c r="X23" s="17"/>
      <c r="Y23" s="17"/>
      <c r="Z23" s="17"/>
      <c r="AA23" s="17"/>
      <c r="AB23" s="17"/>
      <c r="AC23" s="17"/>
      <c r="AD23" s="17"/>
      <c r="AE23" s="17"/>
      <c r="AF23" s="17"/>
      <c r="AG23" s="17"/>
      <c r="AH23" s="17"/>
      <c r="AI23" s="26">
        <f t="shared" si="1"/>
        <v>0</v>
      </c>
    </row>
    <row r="24" spans="1:35" s="27" customFormat="1">
      <c r="A24"/>
      <c r="B24"/>
      <c r="C24" s="41"/>
      <c r="D24" s="17"/>
      <c r="E24" s="17"/>
      <c r="F24" s="17"/>
      <c r="G24" s="17"/>
      <c r="H24" s="17"/>
      <c r="I24" s="17"/>
      <c r="J24" s="17"/>
      <c r="K24" s="17"/>
      <c r="L24" s="17"/>
      <c r="M24" s="17"/>
      <c r="N24" s="17"/>
      <c r="O24" s="17"/>
      <c r="P24" s="17"/>
      <c r="Q24" s="17"/>
      <c r="R24" s="17"/>
      <c r="S24" s="17"/>
      <c r="T24" s="17"/>
      <c r="U24" s="17"/>
      <c r="V24" s="17"/>
      <c r="W24" s="17"/>
      <c r="X24" s="17"/>
      <c r="Y24" s="17"/>
      <c r="Z24" s="17"/>
      <c r="AA24" s="17"/>
      <c r="AB24" s="17"/>
      <c r="AC24" s="17"/>
      <c r="AD24" s="17"/>
      <c r="AE24" s="17"/>
      <c r="AF24" s="17"/>
      <c r="AG24" s="17"/>
      <c r="AH24" s="17"/>
      <c r="AI24" s="26">
        <f t="shared" si="1"/>
        <v>0</v>
      </c>
    </row>
    <row r="25" spans="1:35" s="27" customFormat="1">
      <c r="A25"/>
      <c r="B25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17"/>
      <c r="T25" s="17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26">
        <f t="shared" si="1"/>
        <v>0</v>
      </c>
    </row>
    <row r="26" spans="1:35" s="27" customFormat="1">
      <c r="A26"/>
      <c r="B26"/>
      <c r="D26" s="17"/>
      <c r="E26" s="17"/>
      <c r="F26" s="17"/>
      <c r="G26" s="17"/>
      <c r="H26" s="17"/>
      <c r="I26" s="17"/>
      <c r="J26" s="17"/>
      <c r="K26" s="17"/>
      <c r="L26" s="17"/>
      <c r="M26" s="17"/>
      <c r="N26" s="17"/>
      <c r="O26" s="17"/>
      <c r="P26" s="17"/>
      <c r="Q26" s="17"/>
      <c r="R26" s="17"/>
      <c r="S26" s="17"/>
      <c r="T26" s="17"/>
      <c r="U26" s="17"/>
      <c r="V26" s="17"/>
      <c r="W26" s="17"/>
      <c r="X26" s="17"/>
      <c r="Y26" s="17"/>
      <c r="Z26" s="17"/>
      <c r="AA26" s="17"/>
      <c r="AB26" s="17"/>
      <c r="AC26" s="17"/>
      <c r="AD26" s="17"/>
      <c r="AE26" s="17"/>
      <c r="AF26" s="17"/>
      <c r="AG26" s="17"/>
      <c r="AH26" s="17"/>
      <c r="AI26" s="26">
        <f t="shared" si="1"/>
        <v>0</v>
      </c>
    </row>
    <row r="27" spans="1:35" s="27" customFormat="1">
      <c r="A27"/>
      <c r="B27"/>
      <c r="C27"/>
      <c r="D27" s="17"/>
      <c r="E27" s="17"/>
      <c r="F27" s="17"/>
      <c r="G27" s="17"/>
      <c r="H27" s="17"/>
      <c r="I27" s="17"/>
      <c r="J27" s="17"/>
      <c r="K27" s="17"/>
      <c r="L27" s="17"/>
      <c r="M27" s="17"/>
      <c r="N27" s="17"/>
      <c r="O27" s="17"/>
      <c r="P27" s="17"/>
      <c r="Q27" s="17"/>
      <c r="R27" s="17"/>
      <c r="S27" s="17"/>
      <c r="T27" s="17"/>
      <c r="U27" s="17"/>
      <c r="V27" s="17"/>
      <c r="W27" s="17"/>
      <c r="X27" s="17"/>
      <c r="Y27" s="17"/>
      <c r="Z27" s="17"/>
      <c r="AA27" s="17"/>
      <c r="AB27" s="17"/>
      <c r="AC27" s="17"/>
      <c r="AD27" s="17"/>
      <c r="AE27" s="17"/>
      <c r="AF27" s="17"/>
      <c r="AG27" s="17"/>
      <c r="AH27" s="17"/>
      <c r="AI27" s="26">
        <f t="shared" si="1"/>
        <v>0</v>
      </c>
    </row>
    <row r="28" spans="1:35" s="27" customFormat="1">
      <c r="A28"/>
      <c r="B28"/>
      <c r="C28" t="s">
        <v>26</v>
      </c>
      <c r="D28" s="17"/>
      <c r="E28" s="17"/>
      <c r="F28" s="17"/>
      <c r="G28" s="17"/>
      <c r="H28" s="17"/>
      <c r="I28" s="17"/>
      <c r="J28" s="17"/>
      <c r="K28" s="17"/>
      <c r="L28" s="17"/>
      <c r="M28" s="17"/>
      <c r="N28" s="17"/>
      <c r="O28" s="17"/>
      <c r="P28" s="17"/>
      <c r="Q28" s="17"/>
      <c r="R28" s="17"/>
      <c r="S28" s="17"/>
      <c r="T28" s="17"/>
      <c r="U28" s="17"/>
      <c r="V28" s="17"/>
      <c r="W28" s="17"/>
      <c r="X28" s="17"/>
      <c r="Y28" s="17"/>
      <c r="Z28" s="17"/>
      <c r="AA28" s="17"/>
      <c r="AB28" s="17"/>
      <c r="AC28" s="17"/>
      <c r="AD28" s="17"/>
      <c r="AE28" s="17"/>
      <c r="AF28" s="17"/>
      <c r="AG28" s="17"/>
      <c r="AH28" s="17"/>
      <c r="AI28" s="26">
        <f t="shared" si="1"/>
        <v>0</v>
      </c>
    </row>
    <row r="29" spans="1:35" s="27" customFormat="1">
      <c r="A29" s="1"/>
      <c r="B29" s="1"/>
      <c r="C29" s="1" t="s">
        <v>25</v>
      </c>
      <c r="D29" s="18"/>
      <c r="E29" s="18"/>
      <c r="F29" s="17"/>
      <c r="G29" s="17"/>
      <c r="H29" s="17"/>
      <c r="I29" s="17"/>
      <c r="J29" s="17"/>
      <c r="K29" s="17"/>
      <c r="L29" s="17"/>
      <c r="M29" s="17"/>
      <c r="N29" s="17"/>
      <c r="O29" s="17"/>
      <c r="P29" s="17"/>
      <c r="Q29" s="17"/>
      <c r="R29" s="17"/>
      <c r="S29" s="17"/>
      <c r="T29" s="17"/>
      <c r="U29" s="17"/>
      <c r="V29" s="17"/>
      <c r="W29" s="17"/>
      <c r="X29" s="17"/>
      <c r="Y29" s="17"/>
      <c r="Z29" s="17"/>
      <c r="AA29" s="17"/>
      <c r="AB29" s="17"/>
      <c r="AC29" s="17"/>
      <c r="AD29" s="17"/>
      <c r="AE29" s="17"/>
      <c r="AF29" s="17"/>
      <c r="AG29" s="17"/>
      <c r="AH29" s="17"/>
      <c r="AI29" s="26"/>
    </row>
    <row r="30" spans="1:35" s="27" customFormat="1">
      <c r="A30" s="5"/>
      <c r="B30" s="6"/>
      <c r="C30" s="8" t="s">
        <v>7</v>
      </c>
      <c r="D30" s="14">
        <f t="shared" ref="D30:AE30" si="3">IF(WEEKDAY(D2,2)&gt;5,8," ")</f>
        <v>8</v>
      </c>
      <c r="E30" s="14">
        <f t="shared" si="3"/>
        <v>8</v>
      </c>
      <c r="F30" s="14" t="str">
        <f t="shared" si="3"/>
        <v xml:space="preserve"> </v>
      </c>
      <c r="G30" s="14" t="str">
        <f t="shared" si="3"/>
        <v xml:space="preserve"> </v>
      </c>
      <c r="H30" s="14" t="str">
        <f t="shared" si="3"/>
        <v xml:space="preserve"> </v>
      </c>
      <c r="I30" s="14" t="str">
        <f t="shared" si="3"/>
        <v xml:space="preserve"> </v>
      </c>
      <c r="J30" s="14" t="str">
        <f t="shared" si="3"/>
        <v xml:space="preserve"> </v>
      </c>
      <c r="K30" s="14">
        <f t="shared" si="3"/>
        <v>8</v>
      </c>
      <c r="L30" s="14">
        <f t="shared" si="3"/>
        <v>8</v>
      </c>
      <c r="M30" s="14" t="str">
        <f t="shared" si="3"/>
        <v xml:space="preserve"> </v>
      </c>
      <c r="N30" s="14" t="str">
        <f t="shared" si="3"/>
        <v xml:space="preserve"> </v>
      </c>
      <c r="O30" s="14" t="str">
        <f t="shared" si="3"/>
        <v xml:space="preserve"> </v>
      </c>
      <c r="P30" s="14" t="str">
        <f t="shared" si="3"/>
        <v xml:space="preserve"> </v>
      </c>
      <c r="Q30" s="14" t="str">
        <f t="shared" si="3"/>
        <v xml:space="preserve"> </v>
      </c>
      <c r="R30" s="14">
        <f t="shared" si="3"/>
        <v>8</v>
      </c>
      <c r="S30" s="14">
        <f t="shared" si="3"/>
        <v>8</v>
      </c>
      <c r="T30" s="14" t="str">
        <f t="shared" si="3"/>
        <v xml:space="preserve"> </v>
      </c>
      <c r="U30" s="14" t="str">
        <f t="shared" si="3"/>
        <v xml:space="preserve"> </v>
      </c>
      <c r="V30" s="14" t="str">
        <f t="shared" si="3"/>
        <v xml:space="preserve"> </v>
      </c>
      <c r="W30" s="14" t="str">
        <f t="shared" si="3"/>
        <v xml:space="preserve"> </v>
      </c>
      <c r="X30" s="14" t="str">
        <f t="shared" si="3"/>
        <v xml:space="preserve"> </v>
      </c>
      <c r="Y30" s="14">
        <f t="shared" si="3"/>
        <v>8</v>
      </c>
      <c r="Z30" s="14">
        <f t="shared" si="3"/>
        <v>8</v>
      </c>
      <c r="AA30" s="14" t="str">
        <f t="shared" si="3"/>
        <v xml:space="preserve"> </v>
      </c>
      <c r="AB30" s="14" t="str">
        <f t="shared" si="3"/>
        <v xml:space="preserve"> </v>
      </c>
      <c r="AC30" s="14" t="str">
        <f t="shared" si="3"/>
        <v xml:space="preserve"> </v>
      </c>
      <c r="AD30" s="14" t="str">
        <f t="shared" si="3"/>
        <v xml:space="preserve"> </v>
      </c>
      <c r="AE30" s="14" t="str">
        <f t="shared" si="3"/>
        <v xml:space="preserve"> </v>
      </c>
      <c r="AF30" s="14" t="str">
        <f>IF(MONTH(AE2+1)=$B$35,IF(WEEKDAY(AF2,2)&gt;5,8," ")," ")</f>
        <v xml:space="preserve"> </v>
      </c>
      <c r="AG30" s="14" t="str">
        <f>IF(MONTH(AE2+2)=$B$35,IF(WEEKDAY(AG2,2)&gt;5,8," ")," ")</f>
        <v xml:space="preserve"> </v>
      </c>
      <c r="AH30" s="14" t="str">
        <f>IF(MONTH(AE2+3)=$B$35,IF(WEEKDAY(AH2,2)&gt;5,8," ")," ")</f>
        <v xml:space="preserve"> </v>
      </c>
      <c r="AI30" s="28">
        <f t="shared" si="1"/>
        <v>64</v>
      </c>
    </row>
    <row r="31" spans="1:35" s="40" customFormat="1">
      <c r="A31" s="37"/>
      <c r="B31" s="37"/>
      <c r="C31" s="9" t="s">
        <v>4</v>
      </c>
      <c r="D31" s="38"/>
      <c r="E31" s="38"/>
      <c r="F31" s="38"/>
      <c r="G31" s="38"/>
      <c r="H31" s="38"/>
      <c r="I31" s="38"/>
      <c r="J31" s="38"/>
      <c r="K31" s="38"/>
      <c r="L31" s="38"/>
      <c r="M31" s="38"/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8"/>
      <c r="AG31" s="38"/>
      <c r="AH31" s="38"/>
      <c r="AI31" s="39">
        <f t="shared" si="1"/>
        <v>0</v>
      </c>
    </row>
    <row r="32" spans="1:35" s="27" customFormat="1">
      <c r="A32" s="2"/>
      <c r="B32" s="2"/>
      <c r="C32" s="10" t="s">
        <v>5</v>
      </c>
      <c r="D32" s="15"/>
      <c r="E32" s="15"/>
      <c r="F32" s="15"/>
      <c r="G32" s="15"/>
      <c r="H32" s="15"/>
      <c r="I32" s="15"/>
      <c r="J32" s="15"/>
      <c r="K32" s="15"/>
      <c r="L32" s="15"/>
      <c r="M32" s="15"/>
      <c r="N32" s="15"/>
      <c r="O32" s="15"/>
      <c r="P32" s="15"/>
      <c r="Q32" s="15"/>
      <c r="R32" s="15"/>
      <c r="S32" s="15"/>
      <c r="T32" s="15"/>
      <c r="U32" s="15"/>
      <c r="V32" s="15"/>
      <c r="W32" s="15"/>
      <c r="X32" s="15"/>
      <c r="Y32" s="15"/>
      <c r="Z32" s="15"/>
      <c r="AA32" s="15"/>
      <c r="AB32" s="15"/>
      <c r="AC32" s="15"/>
      <c r="AD32" s="15"/>
      <c r="AE32" s="15"/>
      <c r="AF32" s="15"/>
      <c r="AG32" s="15"/>
      <c r="AH32" s="15"/>
      <c r="AI32" s="29">
        <f t="shared" si="1"/>
        <v>0</v>
      </c>
    </row>
    <row r="33" spans="1:35" s="27" customFormat="1">
      <c r="A33" s="7"/>
      <c r="B33" s="7"/>
      <c r="C33" s="11" t="s">
        <v>6</v>
      </c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30">
        <f t="shared" si="1"/>
        <v>0</v>
      </c>
    </row>
    <row r="34" spans="1:35" s="27" customFormat="1" ht="18.75">
      <c r="A34"/>
      <c r="B34"/>
      <c r="C34" s="12" t="s">
        <v>1</v>
      </c>
      <c r="D34" s="32">
        <f>SUBTOTAL(109,D3:D33)</f>
        <v>8</v>
      </c>
      <c r="E34" s="32">
        <f t="shared" ref="E34:AH34" si="4">SUBTOTAL(109,E3:E33)</f>
        <v>8</v>
      </c>
      <c r="F34" s="32">
        <f t="shared" si="4"/>
        <v>8</v>
      </c>
      <c r="G34" s="32">
        <f t="shared" si="4"/>
        <v>8</v>
      </c>
      <c r="H34" s="32">
        <f t="shared" si="4"/>
        <v>8</v>
      </c>
      <c r="I34" s="32">
        <f t="shared" si="4"/>
        <v>8</v>
      </c>
      <c r="J34" s="32">
        <f t="shared" si="4"/>
        <v>8</v>
      </c>
      <c r="K34" s="32">
        <f t="shared" si="4"/>
        <v>8</v>
      </c>
      <c r="L34" s="32">
        <f t="shared" si="4"/>
        <v>8</v>
      </c>
      <c r="M34" s="32">
        <f t="shared" si="4"/>
        <v>8</v>
      </c>
      <c r="N34" s="32">
        <f t="shared" si="4"/>
        <v>8</v>
      </c>
      <c r="O34" s="32">
        <f t="shared" si="4"/>
        <v>8</v>
      </c>
      <c r="P34" s="32">
        <f t="shared" si="4"/>
        <v>8</v>
      </c>
      <c r="Q34" s="32">
        <f t="shared" si="4"/>
        <v>8</v>
      </c>
      <c r="R34" s="32">
        <f t="shared" si="4"/>
        <v>8</v>
      </c>
      <c r="S34" s="32">
        <f t="shared" si="4"/>
        <v>8</v>
      </c>
      <c r="T34" s="32">
        <f t="shared" si="4"/>
        <v>8</v>
      </c>
      <c r="U34" s="32">
        <f t="shared" si="4"/>
        <v>8</v>
      </c>
      <c r="V34" s="32">
        <f t="shared" si="4"/>
        <v>8</v>
      </c>
      <c r="W34" s="32">
        <f t="shared" si="4"/>
        <v>8</v>
      </c>
      <c r="X34" s="32">
        <f t="shared" si="4"/>
        <v>8</v>
      </c>
      <c r="Y34" s="32">
        <f t="shared" si="4"/>
        <v>8</v>
      </c>
      <c r="Z34" s="32">
        <f t="shared" si="4"/>
        <v>8</v>
      </c>
      <c r="AA34" s="32">
        <f t="shared" si="4"/>
        <v>8</v>
      </c>
      <c r="AB34" s="32">
        <f t="shared" si="4"/>
        <v>8</v>
      </c>
      <c r="AC34" s="32">
        <f t="shared" si="4"/>
        <v>8</v>
      </c>
      <c r="AD34" s="32">
        <f t="shared" si="4"/>
        <v>8</v>
      </c>
      <c r="AE34" s="32">
        <f t="shared" si="4"/>
        <v>8</v>
      </c>
      <c r="AF34" s="32">
        <f t="shared" si="4"/>
        <v>0</v>
      </c>
      <c r="AG34" s="32">
        <f t="shared" si="4"/>
        <v>0</v>
      </c>
      <c r="AH34" s="32">
        <f t="shared" si="4"/>
        <v>0</v>
      </c>
      <c r="AI34" s="31">
        <f>SUBTOTAL(109,AI3:AI33)</f>
        <v>224</v>
      </c>
    </row>
    <row r="35" spans="1:35" ht="29.25" customHeight="1">
      <c r="A35" s="24" t="s">
        <v>23</v>
      </c>
      <c r="B35" s="22">
        <v>2</v>
      </c>
    </row>
    <row r="36" spans="1:35" ht="30.75" customHeight="1">
      <c r="A36" s="25" t="s">
        <v>24</v>
      </c>
      <c r="B36" s="23">
        <v>2014</v>
      </c>
      <c r="C36" s="3"/>
    </row>
    <row r="37" spans="1:35" ht="16.5" customHeight="1"/>
  </sheetData>
  <mergeCells count="1">
    <mergeCell ref="A1:B1"/>
  </mergeCells>
  <conditionalFormatting sqref="D3:AH29">
    <cfRule type="expression" dxfId="9" priority="11">
      <formula>MOD(ROW(),2)=0</formula>
    </cfRule>
    <cfRule type="expression" dxfId="8" priority="12">
      <formula>MOD(ROW(),2)=1</formula>
    </cfRule>
    <cfRule type="expression" dxfId="7" priority="20">
      <formula>_xludf.MOD(ROW(),2)=1</formula>
    </cfRule>
  </conditionalFormatting>
  <conditionalFormatting sqref="D2:AH29">
    <cfRule type="expression" dxfId="6" priority="8">
      <formula>AND((_xludf.MOD(COLUMN(),2)=1),(_xludf.MOD(ROW(),2)=1))</formula>
    </cfRule>
    <cfRule type="expression" dxfId="5" priority="14">
      <formula>_xludf.MOD(ROW(),2)=0</formula>
    </cfRule>
    <cfRule type="expression" dxfId="4" priority="17">
      <formula>_xludf.MOD(ROW(),2)=1</formula>
    </cfRule>
  </conditionalFormatting>
  <conditionalFormatting sqref="D3:AI29">
    <cfRule type="expression" dxfId="3" priority="13">
      <formula>MOD(ROW(),2)=1</formula>
    </cfRule>
  </conditionalFormatting>
  <pageMargins left="0.7" right="0.7" top="0.75" bottom="0.75" header="0.3" footer="0.3"/>
  <pageSetup paperSize="9" orientation="portrait" horizontalDpi="200" verticalDpi="200" r:id="rId1"/>
  <legacyDrawing r:id="rId2"/>
  <tableParts count="3"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3:O12"/>
  <sheetViews>
    <sheetView workbookViewId="0">
      <selection activeCell="A3" sqref="A3"/>
    </sheetView>
  </sheetViews>
  <sheetFormatPr baseColWidth="10" defaultRowHeight="15"/>
  <cols>
    <col min="1" max="1" width="12" customWidth="1"/>
    <col min="3" max="11" width="12" customWidth="1"/>
    <col min="12" max="15" width="13" customWidth="1"/>
  </cols>
  <sheetData>
    <row r="3" spans="1:15">
      <c r="A3" t="s">
        <v>8</v>
      </c>
      <c r="C3" t="s">
        <v>8</v>
      </c>
      <c r="D3" t="s">
        <v>9</v>
      </c>
      <c r="E3" t="s">
        <v>10</v>
      </c>
      <c r="F3" t="s">
        <v>11</v>
      </c>
      <c r="G3" t="s">
        <v>12</v>
      </c>
      <c r="H3" t="s">
        <v>13</v>
      </c>
      <c r="I3" t="s">
        <v>14</v>
      </c>
      <c r="J3" t="s">
        <v>15</v>
      </c>
      <c r="K3" t="s">
        <v>16</v>
      </c>
      <c r="L3" t="s">
        <v>17</v>
      </c>
      <c r="M3" t="s">
        <v>18</v>
      </c>
      <c r="N3" t="s">
        <v>19</v>
      </c>
      <c r="O3" t="s">
        <v>20</v>
      </c>
    </row>
    <row r="4" spans="1:15">
      <c r="A4" s="1"/>
    </row>
    <row r="5" spans="1:15">
      <c r="A5" t="s">
        <v>21</v>
      </c>
    </row>
    <row r="6" spans="1:15">
      <c r="A6" t="s">
        <v>21</v>
      </c>
    </row>
    <row r="12" spans="1:15">
      <c r="A12" s="1"/>
    </row>
  </sheetData>
  <pageMargins left="0.7" right="0.7" top="0.75" bottom="0.75" header="0.3" footer="0.3"/>
  <pageSetup paperSize="9" orientation="portrait" horizontalDpi="200" verticalDpi="200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A1"/>
  <sheetViews>
    <sheetView workbookViewId="0"/>
  </sheetViews>
  <sheetFormatPr baseColWidth="10" defaultRowHeight="15"/>
  <sheetData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Hoja1</vt:lpstr>
      <vt:lpstr>Hoja2</vt:lpstr>
      <vt:lpstr>Hoja3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2006-09-12T12:46:56Z</dcterms:created>
  <dcterms:modified xsi:type="dcterms:W3CDTF">2014-03-05T07:38:05Z</dcterms:modified>
</cp:coreProperties>
</file>