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195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12" i="1"/>
  <c r="AI13"/>
  <c r="AI14"/>
  <c r="C1"/>
  <c r="D2"/>
  <c r="D30" s="1"/>
  <c r="AI28"/>
  <c r="AI27"/>
  <c r="AI26"/>
  <c r="AI25"/>
  <c r="AI24"/>
  <c r="AI23"/>
  <c r="AI22"/>
  <c r="E2" l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0"/>
  <c r="E34" s="1"/>
  <c r="G2" l="1"/>
  <c r="F30"/>
  <c r="F34" s="1"/>
  <c r="H2" l="1"/>
  <c r="G30"/>
  <c r="I2" l="1"/>
  <c r="H30"/>
  <c r="H34" s="1"/>
  <c r="G34"/>
  <c r="J2" l="1"/>
  <c r="I30"/>
  <c r="K2" l="1"/>
  <c r="J30"/>
  <c r="J34" s="1"/>
  <c r="I34"/>
  <c r="L2" l="1"/>
  <c r="K30"/>
  <c r="M2" l="1"/>
  <c r="M30" s="1"/>
  <c r="L30"/>
  <c r="L34" s="1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Z34"/>
  <c r="AB2" l="1"/>
  <c r="AA30"/>
  <c r="AA34" s="1"/>
  <c r="AC2" l="1"/>
  <c r="AB30"/>
  <c r="AB34" s="1"/>
  <c r="AD2" l="1"/>
  <c r="AC30"/>
  <c r="AC34" s="1"/>
  <c r="AE2" l="1"/>
  <c r="AD30"/>
  <c r="AD34" s="1"/>
  <c r="AE30" l="1"/>
  <c r="AE34" s="1"/>
  <c r="AG2"/>
  <c r="AG30" s="1"/>
  <c r="AG34" s="1"/>
  <c r="AH2"/>
  <c r="AH30" s="1"/>
  <c r="AF2"/>
  <c r="AF30" s="1"/>
  <c r="AF34" s="1"/>
  <c r="AH34" l="1"/>
  <c r="AI30"/>
  <c r="AI34" s="1"/>
</calcChain>
</file>

<file path=xl/sharedStrings.xml><?xml version="1.0" encoding="utf-8"?>
<sst xmlns="http://schemas.openxmlformats.org/spreadsheetml/2006/main" count="36" uniqueCount="32">
  <si>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</si>
  <si>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</si>
  <si>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</si>
  <si>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</si>
  <si>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</si>
  <si>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</si>
  <si>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</si>
  <si>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</si>
  <si>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</si>
  <si>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</si>
  <si>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</si>
  <si>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</si>
  <si>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</si>
  <si>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</si>
  <si>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</si>
  <si>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</si>
  <si>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</si>
  <si>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</si>
  <si>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</si>
  <si>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</si>
  <si>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</si>
  <si>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</si>
  <si>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</si>
  <si>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</si>
  <si>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</si>
  <si>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</si>
  <si>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</si>
  <si>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</si>
  <si>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MAGI_1401</t>
  </si>
  <si>
    <t>visita TMB</t>
  </si>
  <si>
    <t>MAGI_1401_T14_140203 (Actualización cliente)</t>
  </si>
  <si>
    <t>MAGI_1401_T11_140203 (Factor de calidad)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</si>
</sst>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AH5" sqref="AH5"/>
    </sheetView>
  </sheetViews>
  <sheetFormatPr baseColWidth="10" defaultColWidth="0" defaultRowHeight="15"/>
  <cols>
    <col min="1" max="1" width="21.140625" customWidth="1"/>
    <col min="2" max="2" width="19.140625" customWidth="1"/>
    <col min="3" max="3" width="62.57031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41821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41821</v>
      </c>
      <c r="E2" s="20">
        <f>D2+1</f>
        <v>41822</v>
      </c>
      <c r="F2" s="20">
        <f t="shared" ref="F2:AE2" si="0">E2+1</f>
        <v>41823</v>
      </c>
      <c r="G2" s="20">
        <f t="shared" si="0"/>
        <v>41824</v>
      </c>
      <c r="H2" s="20">
        <f t="shared" si="0"/>
        <v>41825</v>
      </c>
      <c r="I2" s="20">
        <f t="shared" si="0"/>
        <v>41826</v>
      </c>
      <c r="J2" s="20">
        <f t="shared" si="0"/>
        <v>41827</v>
      </c>
      <c r="K2" s="20">
        <f t="shared" si="0"/>
        <v>41828</v>
      </c>
      <c r="L2" s="20">
        <f t="shared" si="0"/>
        <v>41829</v>
      </c>
      <c r="M2" s="20">
        <f t="shared" si="0"/>
        <v>41830</v>
      </c>
      <c r="N2" s="20">
        <f t="shared" si="0"/>
        <v>41831</v>
      </c>
      <c r="O2" s="20">
        <f t="shared" si="0"/>
        <v>41832</v>
      </c>
      <c r="P2" s="20">
        <f t="shared" si="0"/>
        <v>41833</v>
      </c>
      <c r="Q2" s="20">
        <f t="shared" si="0"/>
        <v>41834</v>
      </c>
      <c r="R2" s="20">
        <f t="shared" si="0"/>
        <v>41835</v>
      </c>
      <c r="S2" s="20">
        <f t="shared" si="0"/>
        <v>41836</v>
      </c>
      <c r="T2" s="20">
        <f t="shared" si="0"/>
        <v>41837</v>
      </c>
      <c r="U2" s="20">
        <f t="shared" si="0"/>
        <v>41838</v>
      </c>
      <c r="V2" s="20">
        <f t="shared" si="0"/>
        <v>41839</v>
      </c>
      <c r="W2" s="20">
        <f t="shared" si="0"/>
        <v>41840</v>
      </c>
      <c r="X2" s="20">
        <f t="shared" si="0"/>
        <v>41841</v>
      </c>
      <c r="Y2" s="20">
        <f t="shared" si="0"/>
        <v>41842</v>
      </c>
      <c r="Z2" s="20">
        <f t="shared" si="0"/>
        <v>41843</v>
      </c>
      <c r="AA2" s="20">
        <f t="shared" si="0"/>
        <v>41844</v>
      </c>
      <c r="AB2" s="20">
        <f t="shared" si="0"/>
        <v>41845</v>
      </c>
      <c r="AC2" s="20">
        <f t="shared" si="0"/>
        <v>41846</v>
      </c>
      <c r="AD2" s="20">
        <f t="shared" si="0"/>
        <v>41847</v>
      </c>
      <c r="AE2" s="20">
        <f t="shared" si="0"/>
        <v>41848</v>
      </c>
      <c r="AF2" s="20">
        <f>IF(MONTH(AE2+1)=$B$35,AE2+1," ")</f>
        <v>41849</v>
      </c>
      <c r="AG2" s="20">
        <f>IF(MONTH(AE2+2)=$B$35,AE2+2," ")</f>
        <v>41850</v>
      </c>
      <c r="AH2" s="20">
        <f>IF(MONTH(AE2+3)=$B$35,AE2+3," ")</f>
        <v>41851</v>
      </c>
      <c r="AI2" s="4" t="s">
        <v>0</v>
      </c>
    </row>
    <row r="3" spans="1:35" s="27" customFormat="1" ht="15.75" thickTop="1">
      <c r="A3" s="34" t="s">
        <v>28</v>
      </c>
      <c r="B3" s="33"/>
      <c r="C3" s="34" t="s">
        <v>31</v>
      </c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>
        <v>4</v>
      </c>
      <c r="S3" s="19">
        <v>8</v>
      </c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26">
        <f t="shared" ref="AI3:AI33" si="1">SUM(D3:AH3)</f>
        <v>12</v>
      </c>
    </row>
    <row r="4" spans="1:35" s="27" customFormat="1">
      <c r="A4" s="35" t="s">
        <v>28</v>
      </c>
      <c r="B4" s="36"/>
      <c r="C4" s="35" t="s">
        <v>30</v>
      </c>
      <c r="D4" s="17">
        <v>8</v>
      </c>
      <c r="E4" s="17">
        <v>8</v>
      </c>
      <c r="F4" s="17">
        <v>6</v>
      </c>
      <c r="G4" s="17">
        <v>8</v>
      </c>
      <c r="H4" s="17"/>
      <c r="I4" s="17"/>
      <c r="J4" s="17">
        <v>8</v>
      </c>
      <c r="K4" s="17">
        <v>8</v>
      </c>
      <c r="L4" s="17">
        <v>8</v>
      </c>
      <c r="M4" s="17">
        <v>8</v>
      </c>
      <c r="N4" s="17">
        <v>8</v>
      </c>
      <c r="O4" s="17"/>
      <c r="P4" s="17"/>
      <c r="Q4" s="17">
        <v>8</v>
      </c>
      <c r="R4" s="17">
        <v>4</v>
      </c>
      <c r="S4" s="17"/>
      <c r="T4" s="17">
        <v>8</v>
      </c>
      <c r="U4" s="17">
        <v>8</v>
      </c>
      <c r="V4" s="17"/>
      <c r="W4" s="17"/>
      <c r="X4" s="17">
        <v>8</v>
      </c>
      <c r="Y4" s="17">
        <v>8</v>
      </c>
      <c r="Z4" s="17">
        <v>8</v>
      </c>
      <c r="AA4" s="17">
        <v>8</v>
      </c>
      <c r="AB4" s="17">
        <v>8</v>
      </c>
      <c r="AC4" s="17"/>
      <c r="AD4" s="17"/>
      <c r="AE4" s="17">
        <v>8</v>
      </c>
      <c r="AF4" s="17">
        <v>8</v>
      </c>
      <c r="AG4" s="17">
        <v>8</v>
      </c>
      <c r="AH4" s="17">
        <v>8</v>
      </c>
      <c r="AI4" s="26">
        <f t="shared" si="1"/>
        <v>170</v>
      </c>
    </row>
    <row r="5" spans="1:35" s="27" customFormat="1">
      <c r="A5" s="34" t="s">
        <v>28</v>
      </c>
      <c r="B5" s="33"/>
      <c r="C5" s="34" t="s">
        <v>29</v>
      </c>
      <c r="D5" s="17"/>
      <c r="E5" s="17"/>
      <c r="F5" s="17">
        <v>2</v>
      </c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26">
        <f t="shared" si="1"/>
        <v>2</v>
      </c>
    </row>
    <row r="6" spans="1:35" s="27" customFormat="1">
      <c r="A6" s="35"/>
      <c r="B6" s="36"/>
      <c r="C6" s="35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0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26">
        <f t="shared" si="2"/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0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 t="str">
        <f t="shared" ref="D30:AE30" si="3">IF(WEEKDAY(D2,2)&gt;5,8," ")</f>
        <v xml:space="preserve"> </v>
      </c>
      <c r="E30" s="14" t="str">
        <f t="shared" si="3"/>
        <v xml:space="preserve"> </v>
      </c>
      <c r="F30" s="14" t="str">
        <f t="shared" si="3"/>
        <v xml:space="preserve"> </v>
      </c>
      <c r="G30" s="14" t="str">
        <f t="shared" si="3"/>
        <v xml:space="preserve"> </v>
      </c>
      <c r="H30" s="14">
        <f t="shared" si="3"/>
        <v>8</v>
      </c>
      <c r="I30" s="14">
        <f t="shared" si="3"/>
        <v>8</v>
      </c>
      <c r="J30" s="14" t="str">
        <f t="shared" si="3"/>
        <v xml:space="preserve"> </v>
      </c>
      <c r="K30" s="14" t="str">
        <f t="shared" si="3"/>
        <v xml:space="preserve"> </v>
      </c>
      <c r="L30" s="14" t="str">
        <f t="shared" si="3"/>
        <v xml:space="preserve"> </v>
      </c>
      <c r="M30" s="14" t="str">
        <f t="shared" si="3"/>
        <v xml:space="preserve"> </v>
      </c>
      <c r="N30" s="14" t="str">
        <f t="shared" si="3"/>
        <v xml:space="preserve"> </v>
      </c>
      <c r="O30" s="14">
        <f t="shared" si="3"/>
        <v>8</v>
      </c>
      <c r="P30" s="14">
        <f t="shared" si="3"/>
        <v>8</v>
      </c>
      <c r="Q30" s="14" t="str">
        <f t="shared" si="3"/>
        <v xml:space="preserve"> </v>
      </c>
      <c r="R30" s="14" t="str">
        <f t="shared" si="3"/>
        <v xml:space="preserve"> </v>
      </c>
      <c r="S30" s="14" t="str">
        <f t="shared" si="3"/>
        <v xml:space="preserve"> </v>
      </c>
      <c r="T30" s="14" t="str">
        <f t="shared" si="3"/>
        <v xml:space="preserve"> </v>
      </c>
      <c r="U30" s="14" t="str">
        <f t="shared" si="3"/>
        <v xml:space="preserve"> </v>
      </c>
      <c r="V30" s="14">
        <f t="shared" si="3"/>
        <v>8</v>
      </c>
      <c r="W30" s="14">
        <f t="shared" si="3"/>
        <v>8</v>
      </c>
      <c r="X30" s="14" t="str">
        <f t="shared" si="3"/>
        <v xml:space="preserve"> </v>
      </c>
      <c r="Y30" s="14" t="str">
        <f t="shared" si="3"/>
        <v xml:space="preserve"> </v>
      </c>
      <c r="Z30" s="14" t="str">
        <f t="shared" si="3"/>
        <v xml:space="preserve"> </v>
      </c>
      <c r="AA30" s="14" t="str">
        <f t="shared" si="3"/>
        <v xml:space="preserve"> </v>
      </c>
      <c r="AB30" s="14" t="str">
        <f t="shared" si="3"/>
        <v xml:space="preserve"> </v>
      </c>
      <c r="AC30" s="14">
        <f t="shared" si="3"/>
        <v>8</v>
      </c>
      <c r="AD30" s="14">
        <f t="shared" si="3"/>
        <v>8</v>
      </c>
      <c r="AE30" s="14" t="str">
        <f t="shared" si="3"/>
        <v xml:space="preserve"> </v>
      </c>
      <c r="AF30" s="14" t="str">
        <f>IF(MONTH(AE2+1)=$B$35,IF(WEEKDAY(AF2,2)&gt;5,8," ")," ")</f>
        <v xml:space="preserve"> </v>
      </c>
      <c r="AG30" s="14" t="str">
        <f>IF(MONTH(AE2+2)=$B$35,IF(WEEKDAY(AG2,2)&gt;5,8," ")," ")</f>
        <v xml:space="preserve"> </v>
      </c>
      <c r="AH30" s="14" t="str">
        <f>IF(MONTH(AE2+3)=$B$35,IF(WEEKDAY(AH2,2)&gt;5,8," ")," ")</f>
        <v xml:space="preserve"> </v>
      </c>
      <c r="AI30" s="28">
        <f t="shared" si="1"/>
        <v>64</v>
      </c>
    </row>
    <row r="31" spans="1:35" s="40" customFormat="1">
      <c r="A31" s="37"/>
      <c r="B31" s="37"/>
      <c r="C31" s="9" t="s">
        <v>4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0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 t="shared" si="4"/>
        <v>8</v>
      </c>
      <c r="U34" s="32">
        <f t="shared" si="4"/>
        <v>8</v>
      </c>
      <c r="V34" s="32">
        <f t="shared" si="4"/>
        <v>8</v>
      </c>
      <c r="W34" s="32">
        <f t="shared" si="4"/>
        <v>8</v>
      </c>
      <c r="X34" s="32">
        <f t="shared" si="4"/>
        <v>8</v>
      </c>
      <c r="Y34" s="32">
        <f t="shared" si="4"/>
        <v>8</v>
      </c>
      <c r="Z34" s="32">
        <f t="shared" si="4"/>
        <v>8</v>
      </c>
      <c r="AA34" s="32">
        <f t="shared" si="4"/>
        <v>8</v>
      </c>
      <c r="AB34" s="32">
        <f t="shared" si="4"/>
        <v>8</v>
      </c>
      <c r="AC34" s="32">
        <f t="shared" si="4"/>
        <v>8</v>
      </c>
      <c r="AD34" s="32">
        <f t="shared" si="4"/>
        <v>8</v>
      </c>
      <c r="AE34" s="32">
        <f t="shared" si="4"/>
        <v>8</v>
      </c>
      <c r="AF34" s="32">
        <f t="shared" si="4"/>
        <v>8</v>
      </c>
      <c r="AG34" s="32">
        <f t="shared" si="4"/>
        <v>8</v>
      </c>
      <c r="AH34" s="32">
        <f t="shared" si="4"/>
        <v>8</v>
      </c>
      <c r="AI34" s="31">
        <f>SUBTOTAL(109,AI3:AI33)</f>
        <v>248</v>
      </c>
    </row>
    <row r="35" spans="1:35" ht="29.25" customHeight="1">
      <c r="A35" s="24" t="s">
        <v>23</v>
      </c>
      <c r="B35" s="22">
        <v>7</v>
      </c>
    </row>
    <row r="36" spans="1:35" ht="30.75" customHeight="1">
      <c r="A36" s="25" t="s">
        <v>24</v>
      </c>
      <c r="B36" s="23">
        <v>2014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2014-08-11T06:15:07Z</dcterms:modified>
</cp:coreProperties>
</file>