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D30" i="1"/>
  <c r="AI12"/>
  <c r="AI13"/>
  <c r="AI14"/>
  <c r="C1"/>
  <c r="D2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M30" s="1"/>
  <c r="L30"/>
  <c r="L34" s="1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Z34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H30" s="1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<sst xmlns="http://schemas.openxmlformats.org/spreadsheetml/2006/main" count="37" uniqueCount="33">
  <si>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</si>
  <si>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</si>
  <si>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</si>
  <si>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</si>
  <si>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</si>
  <si>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</si>
  <si>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</si>
  <si>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</si>
  <si>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</si>
  <si>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</si>
  <si>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</si>
  <si>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</si>
  <si>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</si>
  <si>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</si>
  <si>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</si>
  <si>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</si>
  <si>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</si>
  <si>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</si>
  <si>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</si>
  <si>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</si>
  <si>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</si>
  <si>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</si>
  <si>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</si>
  <si>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</si>
  <si>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</si>
  <si>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</si>
  <si>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</si>
  <si>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</si>
  <si>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</t>
  </si>
  <si>
    <t>MAGI_1401_T13_140203</t>
  </si>
  <si>
    <t>MAGI_1401_T11_140203</t>
  </si>
  <si>
    <t>MAGI_1401_T14_140203</t>
  </si>
  <si>
    <t>SOC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</si>
</sst>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H4" sqref="AH4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41760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41760</v>
      </c>
      <c r="E2" s="20">
        <f>D2+1</f>
        <v>41761</v>
      </c>
      <c r="F2" s="20">
        <f t="shared" ref="F2:AE2" si="0">E2+1</f>
        <v>41762</v>
      </c>
      <c r="G2" s="20">
        <f t="shared" si="0"/>
        <v>41763</v>
      </c>
      <c r="H2" s="20">
        <f t="shared" si="0"/>
        <v>41764</v>
      </c>
      <c r="I2" s="20">
        <f t="shared" si="0"/>
        <v>41765</v>
      </c>
      <c r="J2" s="20">
        <f t="shared" si="0"/>
        <v>41766</v>
      </c>
      <c r="K2" s="20">
        <f t="shared" si="0"/>
        <v>41767</v>
      </c>
      <c r="L2" s="20">
        <f t="shared" si="0"/>
        <v>41768</v>
      </c>
      <c r="M2" s="20">
        <f t="shared" si="0"/>
        <v>41769</v>
      </c>
      <c r="N2" s="20">
        <f t="shared" si="0"/>
        <v>41770</v>
      </c>
      <c r="O2" s="20">
        <f t="shared" si="0"/>
        <v>41771</v>
      </c>
      <c r="P2" s="20">
        <f t="shared" si="0"/>
        <v>41772</v>
      </c>
      <c r="Q2" s="20">
        <f t="shared" si="0"/>
        <v>41773</v>
      </c>
      <c r="R2" s="20">
        <f t="shared" si="0"/>
        <v>41774</v>
      </c>
      <c r="S2" s="20">
        <f t="shared" si="0"/>
        <v>41775</v>
      </c>
      <c r="T2" s="20">
        <f t="shared" si="0"/>
        <v>41776</v>
      </c>
      <c r="U2" s="20">
        <f t="shared" si="0"/>
        <v>41777</v>
      </c>
      <c r="V2" s="20">
        <f t="shared" si="0"/>
        <v>41778</v>
      </c>
      <c r="W2" s="20">
        <f t="shared" si="0"/>
        <v>41779</v>
      </c>
      <c r="X2" s="20">
        <f t="shared" si="0"/>
        <v>41780</v>
      </c>
      <c r="Y2" s="20">
        <f t="shared" si="0"/>
        <v>41781</v>
      </c>
      <c r="Z2" s="20">
        <f t="shared" si="0"/>
        <v>41782</v>
      </c>
      <c r="AA2" s="20">
        <f t="shared" si="0"/>
        <v>41783</v>
      </c>
      <c r="AB2" s="20">
        <f t="shared" si="0"/>
        <v>41784</v>
      </c>
      <c r="AC2" s="20">
        <f t="shared" si="0"/>
        <v>41785</v>
      </c>
      <c r="AD2" s="20">
        <f t="shared" si="0"/>
        <v>41786</v>
      </c>
      <c r="AE2" s="20">
        <f t="shared" si="0"/>
        <v>41787</v>
      </c>
      <c r="AF2" s="20">
        <f>IF(MONTH(AE2+1)=$B$35,AE2+1," ")</f>
        <v>41788</v>
      </c>
      <c r="AG2" s="20">
        <f>IF(MONTH(AE2+2)=$B$35,AE2+2," ")</f>
        <v>41789</v>
      </c>
      <c r="AH2" s="20">
        <f>IF(MONTH(AE2+3)=$B$35,AE2+3," ")</f>
        <v>41790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30</v>
      </c>
      <c r="D3" s="19"/>
      <c r="E3" s="19"/>
      <c r="F3" s="19"/>
      <c r="G3" s="19"/>
      <c r="H3" s="19">
        <v>8</v>
      </c>
      <c r="I3" s="19">
        <v>4</v>
      </c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12</v>
      </c>
    </row>
    <row r="4" spans="1:35" s="27" customFormat="1">
      <c r="A4" s="35" t="s">
        <v>28</v>
      </c>
      <c r="B4" s="36"/>
      <c r="C4" s="35" t="s">
        <v>29</v>
      </c>
      <c r="D4" s="17"/>
      <c r="E4" s="17"/>
      <c r="F4" s="17"/>
      <c r="G4" s="17"/>
      <c r="H4" s="17"/>
      <c r="I4" s="17">
        <v>4</v>
      </c>
      <c r="J4" s="17">
        <v>8</v>
      </c>
      <c r="K4" s="17">
        <v>8</v>
      </c>
      <c r="L4" s="17">
        <v>8</v>
      </c>
      <c r="M4" s="17"/>
      <c r="N4" s="17"/>
      <c r="O4" s="17">
        <v>8</v>
      </c>
      <c r="P4" s="17">
        <v>8</v>
      </c>
      <c r="Q4" s="17">
        <v>8</v>
      </c>
      <c r="R4" s="17"/>
      <c r="S4" s="17"/>
      <c r="T4" s="17"/>
      <c r="U4" s="17"/>
      <c r="V4" s="17"/>
      <c r="W4" s="17">
        <v>4</v>
      </c>
      <c r="X4" s="17">
        <v>4</v>
      </c>
      <c r="Y4" s="17">
        <v>4</v>
      </c>
      <c r="Z4" s="17">
        <v>5.5</v>
      </c>
      <c r="AA4" s="17"/>
      <c r="AB4" s="17"/>
      <c r="AC4" s="17"/>
      <c r="AD4" s="17"/>
      <c r="AE4" s="17"/>
      <c r="AF4" s="17"/>
      <c r="AG4" s="17">
        <v>8</v>
      </c>
      <c r="AH4" s="17"/>
      <c r="AI4" s="26">
        <f t="shared" si="1"/>
        <v>77.5</v>
      </c>
    </row>
    <row r="5" spans="1:35" s="27" customFormat="1">
      <c r="A5" s="34" t="s">
        <v>28</v>
      </c>
      <c r="B5" s="33"/>
      <c r="C5" s="34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>
        <v>8</v>
      </c>
      <c r="S5" s="17">
        <v>8</v>
      </c>
      <c r="T5" s="17"/>
      <c r="U5" s="17"/>
      <c r="V5" s="17">
        <v>8</v>
      </c>
      <c r="W5" s="17">
        <v>4</v>
      </c>
      <c r="X5" s="17">
        <v>4</v>
      </c>
      <c r="Y5" s="17">
        <v>4</v>
      </c>
      <c r="Z5" s="17"/>
      <c r="AA5" s="17"/>
      <c r="AB5" s="17"/>
      <c r="AC5" s="17">
        <v>8</v>
      </c>
      <c r="AD5" s="17">
        <v>8</v>
      </c>
      <c r="AE5" s="17">
        <v>8</v>
      </c>
      <c r="AF5" s="17">
        <v>8</v>
      </c>
      <c r="AG5" s="17"/>
      <c r="AH5" s="17"/>
      <c r="AI5" s="26">
        <f t="shared" si="1"/>
        <v>68</v>
      </c>
    </row>
    <row r="6" spans="1:35" s="27" customFormat="1">
      <c r="A6" s="35"/>
      <c r="B6" s="36"/>
      <c r="C6" s="35" t="s">
        <v>32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>
        <v>2.5</v>
      </c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2.5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>
        <v>8</v>
      </c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8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>
        <f t="shared" si="3"/>
        <v>8</v>
      </c>
      <c r="G30" s="14">
        <f t="shared" si="3"/>
        <v>8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>
        <f t="shared" si="3"/>
        <v>8</v>
      </c>
      <c r="N30" s="14">
        <f t="shared" si="3"/>
        <v>8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 t="str">
        <f t="shared" si="3"/>
        <v xml:space="preserve"> </v>
      </c>
      <c r="T30" s="14">
        <f t="shared" si="3"/>
        <v>8</v>
      </c>
      <c r="U30" s="14">
        <f t="shared" si="3"/>
        <v>8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>
        <f t="shared" si="3"/>
        <v>8</v>
      </c>
      <c r="AB30" s="14">
        <f t="shared" si="3"/>
        <v>8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>
        <f>IF(MONTH(AE2+3)=$B$35,IF(WEEKDAY(AH2,2)&gt;5,8," ")," ")</f>
        <v>8</v>
      </c>
      <c r="AI30" s="28">
        <f t="shared" si="1"/>
        <v>72</v>
      </c>
    </row>
    <row r="31" spans="1:35" s="40" customFormat="1">
      <c r="A31" s="37"/>
      <c r="B31" s="37"/>
      <c r="C31" s="9" t="s">
        <v>4</v>
      </c>
      <c r="D31" s="38"/>
      <c r="E31" s="38">
        <v>8</v>
      </c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8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5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2014-06-11T06:32:18Z</dcterms:modified>
</cp:coreProperties>
</file>