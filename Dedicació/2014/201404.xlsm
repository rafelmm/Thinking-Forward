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M30" s="1"/>
  <c r="L30"/>
  <c r="L34" s="1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Z34"/>
  <c r="AB2" l="1"/>
  <c r="AA30"/>
  <c r="AA34" s="1"/>
  <c r="AC2" l="1"/>
  <c r="AB30"/>
  <c r="AB34" s="1"/>
  <c r="AD2" l="1"/>
  <c r="AC30"/>
  <c r="AC34" s="1"/>
  <c r="AE2" l="1"/>
  <c r="AH30" s="1"/>
  <c r="AD30"/>
  <c r="AD34" s="1"/>
  <c r="AE30" l="1"/>
  <c r="AE34" s="1"/>
  <c r="AG2"/>
  <c r="AG30" s="1"/>
  <c r="AG34" s="1"/>
  <c r="AH2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<sst xmlns="http://schemas.openxmlformats.org/spreadsheetml/2006/main" count="36" uniqueCount="32">
  <si>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</si>
  <si>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</si>
  <si>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</si>
  <si>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</si>
  <si>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</si>
  <si>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</si>
  <si>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</si>
  <si>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</si>
  <si>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</si>
  <si>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</si>
  <si>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</si>
  <si>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</si>
  <si>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</si>
  <si>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</si>
  <si>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</si>
  <si>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</si>
  <si>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</si>
  <si>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</si>
  <si>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</si>
  <si>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</si>
  <si>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</si>
  <si>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</si>
  <si>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</si>
  <si>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</si>
  <si>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</si>
  <si>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</si>
  <si>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</si>
  <si>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</si>
  <si>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</t>
  </si>
  <si>
    <t>MAGI_1401_T5_140203</t>
  </si>
  <si>
    <t>MAGI_1401_T13_140203</t>
  </si>
  <si>
    <t>MAGI_1401_T11_140203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</si>
</sst>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C6" sqref="C6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41730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41730</v>
      </c>
      <c r="E2" s="20">
        <f>D2+1</f>
        <v>41731</v>
      </c>
      <c r="F2" s="20">
        <f t="shared" ref="F2:AE2" si="0">E2+1</f>
        <v>41732</v>
      </c>
      <c r="G2" s="20">
        <f t="shared" si="0"/>
        <v>41733</v>
      </c>
      <c r="H2" s="20">
        <f t="shared" si="0"/>
        <v>41734</v>
      </c>
      <c r="I2" s="20">
        <f t="shared" si="0"/>
        <v>41735</v>
      </c>
      <c r="J2" s="20">
        <f t="shared" si="0"/>
        <v>41736</v>
      </c>
      <c r="K2" s="20">
        <f t="shared" si="0"/>
        <v>41737</v>
      </c>
      <c r="L2" s="20">
        <f t="shared" si="0"/>
        <v>41738</v>
      </c>
      <c r="M2" s="20">
        <f t="shared" si="0"/>
        <v>41739</v>
      </c>
      <c r="N2" s="20">
        <f t="shared" si="0"/>
        <v>41740</v>
      </c>
      <c r="O2" s="20">
        <f t="shared" si="0"/>
        <v>41741</v>
      </c>
      <c r="P2" s="20">
        <f t="shared" si="0"/>
        <v>41742</v>
      </c>
      <c r="Q2" s="20">
        <f t="shared" si="0"/>
        <v>41743</v>
      </c>
      <c r="R2" s="20">
        <f t="shared" si="0"/>
        <v>41744</v>
      </c>
      <c r="S2" s="20">
        <f t="shared" si="0"/>
        <v>41745</v>
      </c>
      <c r="T2" s="20">
        <f t="shared" si="0"/>
        <v>41746</v>
      </c>
      <c r="U2" s="20">
        <f t="shared" si="0"/>
        <v>41747</v>
      </c>
      <c r="V2" s="20">
        <f t="shared" si="0"/>
        <v>41748</v>
      </c>
      <c r="W2" s="20">
        <f t="shared" si="0"/>
        <v>41749</v>
      </c>
      <c r="X2" s="20">
        <f t="shared" si="0"/>
        <v>41750</v>
      </c>
      <c r="Y2" s="20">
        <f t="shared" si="0"/>
        <v>41751</v>
      </c>
      <c r="Z2" s="20">
        <f t="shared" si="0"/>
        <v>41752</v>
      </c>
      <c r="AA2" s="20">
        <f t="shared" si="0"/>
        <v>41753</v>
      </c>
      <c r="AB2" s="20">
        <f t="shared" si="0"/>
        <v>41754</v>
      </c>
      <c r="AC2" s="20">
        <f t="shared" si="0"/>
        <v>41755</v>
      </c>
      <c r="AD2" s="20">
        <f t="shared" si="0"/>
        <v>41756</v>
      </c>
      <c r="AE2" s="20">
        <f t="shared" si="0"/>
        <v>41757</v>
      </c>
      <c r="AF2" s="20">
        <f>IF(MONTH(AE2+1)=$B$35,AE2+1," ")</f>
        <v>41758</v>
      </c>
      <c r="AG2" s="20">
        <f>IF(MONTH(AE2+2)=$B$35,AE2+2," ")</f>
        <v>41759</v>
      </c>
      <c r="AH2" s="20" t="str">
        <f>IF(MONTH(AE2+3)=$B$35,AE2+3," ")</f>
        <v xml:space="preserve"> </v>
      </c>
      <c r="AI2" s="4" t="s">
        <v>0</v>
      </c>
    </row>
    <row r="3" spans="1:35" s="27" customFormat="1" ht="15.75" thickTop="1">
      <c r="A3" s="34" t="s">
        <v>28</v>
      </c>
      <c r="B3" s="33"/>
      <c r="C3" s="34" t="s">
        <v>29</v>
      </c>
      <c r="D3" s="19"/>
      <c r="E3" s="19"/>
      <c r="F3" s="19">
        <v>4</v>
      </c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4</v>
      </c>
    </row>
    <row r="4" spans="1:35" s="27" customFormat="1">
      <c r="A4" s="35" t="s">
        <v>28</v>
      </c>
      <c r="B4" s="36"/>
      <c r="C4" s="35" t="s">
        <v>30</v>
      </c>
      <c r="D4" s="17"/>
      <c r="E4" s="17"/>
      <c r="F4" s="17">
        <v>4</v>
      </c>
      <c r="G4" s="17">
        <v>8</v>
      </c>
      <c r="H4" s="17"/>
      <c r="I4" s="17"/>
      <c r="J4" s="17">
        <v>8</v>
      </c>
      <c r="K4" s="17">
        <v>8</v>
      </c>
      <c r="L4" s="17">
        <v>8</v>
      </c>
      <c r="M4" s="17">
        <v>8</v>
      </c>
      <c r="N4" s="17">
        <v>8</v>
      </c>
      <c r="O4" s="17"/>
      <c r="P4" s="17"/>
      <c r="Q4" s="17">
        <v>8</v>
      </c>
      <c r="R4" s="17">
        <v>8</v>
      </c>
      <c r="S4" s="17">
        <v>8</v>
      </c>
      <c r="T4" s="17"/>
      <c r="U4" s="17"/>
      <c r="V4" s="17"/>
      <c r="W4" s="17"/>
      <c r="X4" s="17"/>
      <c r="Y4" s="17">
        <v>8</v>
      </c>
      <c r="Z4" s="17">
        <v>8</v>
      </c>
      <c r="AA4" s="17">
        <v>8</v>
      </c>
      <c r="AB4" s="17">
        <v>8</v>
      </c>
      <c r="AC4" s="17"/>
      <c r="AD4" s="17"/>
      <c r="AE4" s="17"/>
      <c r="AF4" s="17"/>
      <c r="AG4" s="17"/>
      <c r="AH4" s="17"/>
      <c r="AI4" s="26">
        <f t="shared" si="1"/>
        <v>108</v>
      </c>
    </row>
    <row r="5" spans="1:35" s="27" customFormat="1">
      <c r="A5" s="34" t="s">
        <v>28</v>
      </c>
      <c r="B5" s="33"/>
      <c r="C5" s="34" t="s">
        <v>31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>
        <v>8</v>
      </c>
      <c r="AF5" s="17"/>
      <c r="AG5" s="17"/>
      <c r="AH5" s="17"/>
      <c r="AI5" s="26">
        <f t="shared" si="1"/>
        <v>8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>
        <v>8</v>
      </c>
      <c r="V29" s="17"/>
      <c r="W29" s="17"/>
      <c r="X29" s="17">
        <v>8</v>
      </c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>
        <v>8</v>
      </c>
      <c r="E30" s="14" t="str">
        <f t="shared" ref="E30:AE30" si="3">IF(WEEKDAY(E2,2)&gt;5,8," ")</f>
        <v xml:space="preserve"> </v>
      </c>
      <c r="F30" s="14" t="str">
        <f t="shared" si="3"/>
        <v xml:space="preserve"> </v>
      </c>
      <c r="G30" s="14" t="str">
        <f t="shared" si="3"/>
        <v xml:space="preserve"> </v>
      </c>
      <c r="H30" s="14">
        <f t="shared" si="3"/>
        <v>8</v>
      </c>
      <c r="I30" s="14">
        <f t="shared" si="3"/>
        <v>8</v>
      </c>
      <c r="J30" s="14" t="str">
        <f t="shared" si="3"/>
        <v xml:space="preserve"> 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 t="str">
        <f t="shared" si="3"/>
        <v xml:space="preserve"> </v>
      </c>
      <c r="O30" s="14">
        <f t="shared" si="3"/>
        <v>8</v>
      </c>
      <c r="P30" s="14">
        <f t="shared" si="3"/>
        <v>8</v>
      </c>
      <c r="Q30" s="14" t="str">
        <f t="shared" si="3"/>
        <v xml:space="preserve"> </v>
      </c>
      <c r="R30" s="14" t="str">
        <f t="shared" si="3"/>
        <v xml:space="preserve"> </v>
      </c>
      <c r="S30" s="14" t="str">
        <f t="shared" si="3"/>
        <v xml:space="preserve"> </v>
      </c>
      <c r="T30" s="14" t="str">
        <f t="shared" si="3"/>
        <v xml:space="preserve"> </v>
      </c>
      <c r="U30" s="14" t="str">
        <f t="shared" si="3"/>
        <v xml:space="preserve"> </v>
      </c>
      <c r="V30" s="14">
        <f t="shared" si="3"/>
        <v>8</v>
      </c>
      <c r="W30" s="14">
        <f t="shared" si="3"/>
        <v>8</v>
      </c>
      <c r="X30" s="14" t="str">
        <f t="shared" si="3"/>
        <v xml:space="preserve"> 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 t="str">
        <f t="shared" si="3"/>
        <v xml:space="preserve"> </v>
      </c>
      <c r="AC30" s="14">
        <f t="shared" si="3"/>
        <v>8</v>
      </c>
      <c r="AD30" s="14">
        <f t="shared" si="3"/>
        <v>8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72</v>
      </c>
    </row>
    <row r="31" spans="1:35" s="40" customFormat="1">
      <c r="A31" s="37"/>
      <c r="B31" s="37"/>
      <c r="C31" s="9" t="s">
        <v>4</v>
      </c>
      <c r="D31" s="38"/>
      <c r="E31" s="38">
        <v>8</v>
      </c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>
        <v>8</v>
      </c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>
        <v>8</v>
      </c>
      <c r="AG31" s="38">
        <v>8</v>
      </c>
      <c r="AH31" s="38"/>
      <c r="AI31" s="39">
        <f t="shared" si="1"/>
        <v>32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0</v>
      </c>
      <c r="AI34" s="31">
        <f>SUBTOTAL(109,AI3:AI33)</f>
        <v>224</v>
      </c>
    </row>
    <row r="35" spans="1:35" ht="29.25" customHeight="1">
      <c r="A35" s="24" t="s">
        <v>23</v>
      </c>
      <c r="B35" s="22">
        <v>4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2014-05-05T09:58:20Z</dcterms:modified>
</cp:coreProperties>
</file>