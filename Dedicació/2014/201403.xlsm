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5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360" yWindow="300" windowWidth="14880" windowHeight="7815" tabRatio="195"/>
  </bookViews>
  <sheets>
    <sheet name="Hoja1" sheetId="1" r:id="rId1"/>
    <sheet name="Hoja2" sheetId="2" r:id="rId2"/>
    <sheet name="Hoja3" sheetId="3" r:id="rId3"/>
  </sheets>
  <definedNames>
    <definedName name="_xlnm._FilterDatabase" localSheetId="0" hidden="1">Hoja1!$A$2:$B$32</definedName>
  </definedNames>
  <calcPr calcId="125725"/>
</workbook>
</file>

<file path=xl/calcChain.xml><?xml version="1.0" encoding="utf-8"?>
<calcChain xmlns="http://schemas.openxmlformats.org/spreadsheetml/2006/main">
  <c r="M30" i="1"/>
  <c r="N30"/>
  <c r="O30"/>
  <c r="P30"/>
  <c r="Q30"/>
  <c r="R30"/>
  <c r="S30"/>
  <c r="T30"/>
  <c r="U30"/>
  <c r="V30"/>
  <c r="W30"/>
  <c r="X30"/>
  <c r="Y30"/>
  <c r="Z30"/>
  <c r="AH30"/>
  <c r="AI12"/>
  <c r="AI13"/>
  <c r="AI14"/>
  <c r="C1"/>
  <c r="D2"/>
  <c r="AI28"/>
  <c r="AI27"/>
  <c r="AI26"/>
  <c r="AI25"/>
  <c r="AI24"/>
  <c r="AI23"/>
  <c r="AI22"/>
  <c r="E2" l="1"/>
  <c r="D34"/>
  <c r="AI3"/>
  <c r="AI33"/>
  <c r="AI32"/>
  <c r="AI31"/>
  <c r="AI21"/>
  <c r="AI20"/>
  <c r="AI19"/>
  <c r="AI18"/>
  <c r="AI17"/>
  <c r="AI16"/>
  <c r="AI15"/>
  <c r="AI11"/>
  <c r="AI10"/>
  <c r="AI9"/>
  <c r="AI8"/>
  <c r="AI7"/>
  <c r="AI6"/>
  <c r="AI5"/>
  <c r="AI4"/>
  <c r="F2" l="1"/>
  <c r="E30"/>
  <c r="E34" s="1"/>
  <c r="G2" l="1"/>
  <c r="F30"/>
  <c r="F34" s="1"/>
  <c r="H2" l="1"/>
  <c r="G30"/>
  <c r="I2" l="1"/>
  <c r="H30"/>
  <c r="H34" s="1"/>
  <c r="G34"/>
  <c r="J2" l="1"/>
  <c r="I30"/>
  <c r="K2" l="1"/>
  <c r="J30"/>
  <c r="J34" s="1"/>
  <c r="I34"/>
  <c r="L2" l="1"/>
  <c r="K30"/>
  <c r="M2" l="1"/>
  <c r="L30"/>
  <c r="L34" s="1"/>
  <c r="K34"/>
  <c r="N2" l="1"/>
  <c r="O2" l="1"/>
  <c r="N34"/>
  <c r="M34"/>
  <c r="P2" l="1"/>
  <c r="O34"/>
  <c r="Q2" l="1"/>
  <c r="P34"/>
  <c r="R2" l="1"/>
  <c r="Q34"/>
  <c r="S2" l="1"/>
  <c r="R34"/>
  <c r="T2" l="1"/>
  <c r="S34"/>
  <c r="U2" l="1"/>
  <c r="T34"/>
  <c r="V2" l="1"/>
  <c r="U34"/>
  <c r="W2" l="1"/>
  <c r="V34"/>
  <c r="X2" l="1"/>
  <c r="W34"/>
  <c r="Y2" l="1"/>
  <c r="X34"/>
  <c r="Z2" l="1"/>
  <c r="Y34"/>
  <c r="AA2" l="1"/>
  <c r="Z34"/>
  <c r="AB2" l="1"/>
  <c r="AA30"/>
  <c r="AA34" s="1"/>
  <c r="AC2" l="1"/>
  <c r="AB30"/>
  <c r="AB34" s="1"/>
  <c r="AD2" l="1"/>
  <c r="AC30"/>
  <c r="AC34" s="1"/>
  <c r="AE2" l="1"/>
  <c r="AD30"/>
  <c r="AD34" s="1"/>
  <c r="AE30" l="1"/>
  <c r="AE34" s="1"/>
  <c r="AG2"/>
  <c r="AG30" s="1"/>
  <c r="AG34" s="1"/>
  <c r="AH2"/>
  <c r="AF2"/>
  <c r="AF30" s="1"/>
  <c r="AF34" s="1"/>
  <c r="AH34" l="1"/>
  <c r="AI30"/>
  <c r="AI34" s="1"/>
</calcChain>
</file>

<file path=xl/sharedStrings.xml><?xml version="1.0" encoding="utf-8"?>
<sst xmlns="http://schemas.openxmlformats.org/spreadsheetml/2006/main" count="43" uniqueCount="36">
  <si>
    <t>Horas total tareas</t>
  </si>
  <si>
    <t>Total Horas Día</t>
  </si>
  <si>
    <t>Tarea</t>
  </si>
  <si>
    <t>REF. Modif</t>
  </si>
  <si>
    <t>Vacaciones</t>
  </si>
  <si>
    <t>Enfermedad</t>
  </si>
  <si>
    <t>Otras Ausencias</t>
  </si>
  <si>
    <t>Fin de semana</t>
  </si>
  <si>
    <t>Columna1</t>
  </si>
  <si>
    <t>Columna2</t>
  </si>
  <si>
    <t>Columna3</t>
  </si>
  <si>
    <t>Columna4</t>
  </si>
  <si>
    <t>Columna5</t>
  </si>
  <si>
    <t>Columna6</t>
  </si>
  <si>
    <t>Columna7</t>
  </si>
  <si>
    <t>Columna8</t>
  </si>
  <si>
    <t>Columna9</t>
  </si>
  <si>
    <t>Columna10</t>
  </si>
  <si>
    <t>Columna11</t>
  </si>
  <si>
    <t>Columna12</t>
  </si>
  <si>
    <t>Columna13</t>
  </si>
  <si>
    <t>as</t>
  </si>
  <si>
    <t>PROYECTO</t>
  </si>
  <si>
    <t>Mes</t>
  </si>
  <si>
    <t xml:space="preserve">Año </t>
  </si>
  <si>
    <t>Ausencia por trabajo la noche anterior</t>
  </si>
  <si>
    <t>Día festivo</t>
  </si>
  <si>
    <t>Horas Dedicación Rafel</t>
  </si>
  <si>
    <t>MAGI_1401</t>
  </si>
  <si>
    <t>MAGI_1401_T7_140203</t>
  </si>
  <si>
    <t>Reunión proyecto</t>
  </si>
  <si>
    <t>MAGI_1401_T3_140203</t>
  </si>
  <si>
    <t>MAGI_1401_T6_140203</t>
  </si>
  <si>
    <t>Mejora monitor de servicios (añadir configuración del monitor)</t>
  </si>
  <si>
    <t>MAGI_1401_T5_140203</t>
  </si>
  <si>
    <t>MAGI_1401_T14_140203 (Cambios cliente)</t>
  </si>
</sst>
</file>

<file path=xl/styles.xml><?xml version="1.0" encoding="utf-8"?>
<styleSheet xmlns="http://schemas.openxmlformats.org/spreadsheetml/2006/main">
  <numFmts count="2">
    <numFmt numFmtId="164" formatCode="dd"/>
    <numFmt numFmtId="165" formatCode="mmmm"/>
  </numFmts>
  <fonts count="1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4.9989318521683403E-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4.9989318521683403E-2"/>
      </top>
      <bottom style="thick">
        <color theme="0" tint="-4.9989318521683403E-2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7">
    <xf numFmtId="0" fontId="0" fillId="0" borderId="0"/>
    <xf numFmtId="0" fontId="2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4" borderId="0" applyNumberFormat="0" applyBorder="0" applyAlignment="0" applyProtection="0"/>
    <xf numFmtId="0" fontId="1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</cellStyleXfs>
  <cellXfs count="46">
    <xf numFmtId="0" fontId="0" fillId="0" borderId="0" xfId="0"/>
    <xf numFmtId="0" fontId="0" fillId="0" borderId="0" xfId="0" applyBorder="1"/>
    <xf numFmtId="0" fontId="2" fillId="4" borderId="1" xfId="3" applyBorder="1"/>
    <xf numFmtId="0" fontId="0" fillId="0" borderId="0" xfId="0" applyAlignment="1">
      <alignment vertical="center"/>
    </xf>
    <xf numFmtId="0" fontId="4" fillId="2" borderId="4" xfId="1" applyFont="1" applyBorder="1"/>
    <xf numFmtId="0" fontId="1" fillId="5" borderId="5" xfId="4" applyBorder="1"/>
    <xf numFmtId="0" fontId="1" fillId="5" borderId="1" xfId="4" applyBorder="1"/>
    <xf numFmtId="0" fontId="2" fillId="7" borderId="0" xfId="6" applyBorder="1"/>
    <xf numFmtId="0" fontId="1" fillId="5" borderId="6" xfId="4" applyBorder="1"/>
    <xf numFmtId="0" fontId="8" fillId="6" borderId="6" xfId="5" applyFont="1" applyBorder="1"/>
    <xf numFmtId="0" fontId="8" fillId="4" borderId="6" xfId="3" applyFont="1" applyBorder="1"/>
    <xf numFmtId="0" fontId="8" fillId="7" borderId="2" xfId="6" applyFont="1" applyBorder="1"/>
    <xf numFmtId="0" fontId="4" fillId="2" borderId="2" xfId="1" applyFont="1" applyBorder="1" applyAlignment="1">
      <alignment horizontal="right" indent="2"/>
    </xf>
    <xf numFmtId="0" fontId="0" fillId="0" borderId="0" xfId="0" applyBorder="1" applyAlignment="1"/>
    <xf numFmtId="0" fontId="1" fillId="5" borderId="7" xfId="4" applyBorder="1"/>
    <xf numFmtId="0" fontId="2" fillId="4" borderId="7" xfId="3" applyBorder="1"/>
    <xf numFmtId="0" fontId="2" fillId="7" borderId="7" xfId="6" applyBorder="1"/>
    <xf numFmtId="0" fontId="0" fillId="0" borderId="8" xfId="0" applyBorder="1"/>
    <xf numFmtId="0" fontId="0" fillId="0" borderId="8" xfId="0" applyNumberFormat="1" applyBorder="1"/>
    <xf numFmtId="0" fontId="0" fillId="0" borderId="9" xfId="0" applyBorder="1"/>
    <xf numFmtId="164" fontId="6" fillId="8" borderId="10" xfId="0" applyNumberFormat="1" applyFont="1" applyFill="1" applyBorder="1"/>
    <xf numFmtId="165" fontId="3" fillId="2" borderId="0" xfId="1" applyNumberFormat="1" applyFont="1" applyBorder="1" applyAlignment="1">
      <alignment horizontal="left" vertical="center"/>
    </xf>
    <xf numFmtId="0" fontId="0" fillId="9" borderId="11" xfId="0" applyFill="1" applyBorder="1"/>
    <xf numFmtId="0" fontId="0" fillId="10" borderId="11" xfId="0" applyFill="1" applyBorder="1"/>
    <xf numFmtId="0" fontId="9" fillId="9" borderId="11" xfId="0" applyFont="1" applyFill="1" applyBorder="1"/>
    <xf numFmtId="0" fontId="9" fillId="10" borderId="11" xfId="0" applyFont="1" applyFill="1" applyBorder="1"/>
    <xf numFmtId="0" fontId="7" fillId="3" borderId="4" xfId="2" applyFont="1" applyBorder="1" applyAlignment="1">
      <alignment horizontal="center"/>
    </xf>
    <xf numFmtId="0" fontId="7" fillId="0" borderId="0" xfId="0" applyFont="1"/>
    <xf numFmtId="0" fontId="7" fillId="5" borderId="4" xfId="4" applyFont="1" applyBorder="1" applyAlignment="1">
      <alignment horizontal="center"/>
    </xf>
    <xf numFmtId="0" fontId="7" fillId="4" borderId="4" xfId="3" applyFont="1" applyBorder="1" applyAlignment="1">
      <alignment horizontal="center"/>
    </xf>
    <xf numFmtId="0" fontId="7" fillId="7" borderId="4" xfId="6" applyFont="1" applyBorder="1" applyAlignment="1">
      <alignment horizontal="center"/>
    </xf>
    <xf numFmtId="0" fontId="7" fillId="4" borderId="7" xfId="3" applyFont="1" applyBorder="1" applyAlignment="1">
      <alignment horizontal="center" vertical="center"/>
    </xf>
    <xf numFmtId="0" fontId="1" fillId="4" borderId="7" xfId="3" applyFont="1" applyBorder="1"/>
    <xf numFmtId="0" fontId="1" fillId="3" borderId="1" xfId="2" applyBorder="1"/>
    <xf numFmtId="0" fontId="0" fillId="3" borderId="1" xfId="2" applyFont="1" applyBorder="1"/>
    <xf numFmtId="0" fontId="0" fillId="11" borderId="1" xfId="2" applyFont="1" applyFill="1" applyBorder="1"/>
    <xf numFmtId="0" fontId="1" fillId="11" borderId="1" xfId="2" applyFill="1" applyBorder="1"/>
    <xf numFmtId="0" fontId="8" fillId="6" borderId="1" xfId="5" applyFont="1" applyBorder="1"/>
    <xf numFmtId="0" fontId="8" fillId="6" borderId="7" xfId="5" applyFont="1" applyBorder="1"/>
    <xf numFmtId="0" fontId="10" fillId="6" borderId="4" xfId="5" applyFont="1" applyBorder="1" applyAlignment="1">
      <alignment horizontal="center"/>
    </xf>
    <xf numFmtId="0" fontId="10" fillId="0" borderId="0" xfId="0" applyFont="1"/>
    <xf numFmtId="0" fontId="0" fillId="0" borderId="0" xfId="0" applyFont="1"/>
    <xf numFmtId="0" fontId="0" fillId="0" borderId="8" xfId="0" applyFont="1" applyBorder="1"/>
    <xf numFmtId="0" fontId="11" fillId="0" borderId="8" xfId="0" applyFont="1" applyBorder="1"/>
    <xf numFmtId="0" fontId="0" fillId="0" borderId="0" xfId="0" applyFont="1" applyBorder="1"/>
    <xf numFmtId="0" fontId="3" fillId="2" borderId="3" xfId="1" applyFont="1" applyBorder="1" applyAlignment="1">
      <alignment horizontal="center" vertical="center"/>
    </xf>
  </cellXfs>
  <cellStyles count="7">
    <cellStyle name="40% - Énfasis1" xfId="2" builtinId="31"/>
    <cellStyle name="40% - Énfasis3" xfId="4" builtinId="39"/>
    <cellStyle name="60% - Énfasis1" xfId="3" builtinId="32"/>
    <cellStyle name="60% - Énfasis3" xfId="5" builtinId="40"/>
    <cellStyle name="Énfasis1" xfId="1" builtinId="29"/>
    <cellStyle name="Énfasis5" xfId="6" builtinId="45"/>
    <cellStyle name="Normal" xfId="0" builtinId="0"/>
  </cellStyles>
  <dxfs count="10">
    <dxf>
      <border outline="0">
        <right style="thin">
          <color theme="0" tint="-0.24994659260841701"/>
        </right>
        <bottom style="thin">
          <color theme="0" tint="-0.24994659260841701"/>
        </bottom>
      </border>
    </dxf>
    <dxf>
      <border outline="0">
        <right style="thin">
          <color theme="0" tint="-0.24994659260841701"/>
        </right>
        <bottom style="thin">
          <color theme="0" tint="-0.24994659260841701"/>
        </bottom>
      </border>
    </dxf>
    <dxf>
      <border outline="0">
        <right style="thin">
          <color theme="0" tint="-0.24994659260841701"/>
        </right>
        <bottom style="thin">
          <color theme="0" tint="-0.24994659260841701"/>
        </bottom>
      </border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6" name="Tabla6" displayName="Tabla6" ref="A2:A33" totalsRowShown="0" tableBorderDxfId="2">
  <autoFilter ref="A2:A33"/>
  <tableColumns count="1">
    <tableColumn id="1" name="PROYECTO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0" name="Tabla10" displayName="Tabla10" ref="B2:B33" totalsRowShown="0" tableBorderDxfId="1">
  <autoFilter ref="B2:B33"/>
  <tableColumns count="1">
    <tableColumn id="1" name="REF. Modif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1" name="Tabla11" displayName="Tabla11" ref="C2:C29" totalsRowShown="0" tableBorderDxfId="0">
  <autoFilter ref="C2:C29"/>
  <tableColumns count="1">
    <tableColumn id="1" name="Tarea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Tabla4" displayName="Tabla4" ref="A3:A12" totalsRowShown="0">
  <autoFilter ref="A3:A12"/>
  <tableColumns count="1">
    <tableColumn id="1" name="Columna1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9" name="Tabla9" displayName="Tabla9" ref="C3:O13" totalsRowShown="0">
  <autoFilter ref="C3:O13"/>
  <tableColumns count="13">
    <tableColumn id="1" name="Columna1"/>
    <tableColumn id="2" name="Columna2"/>
    <tableColumn id="3" name="Columna3"/>
    <tableColumn id="4" name="Columna4"/>
    <tableColumn id="5" name="Columna5"/>
    <tableColumn id="6" name="Columna6"/>
    <tableColumn id="7" name="Columna7"/>
    <tableColumn id="8" name="Columna8"/>
    <tableColumn id="9" name="Columna9"/>
    <tableColumn id="10" name="Columna10"/>
    <tableColumn id="11" name="Columna11"/>
    <tableColumn id="12" name="Columna12"/>
    <tableColumn id="13" name="Columna1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A1:AI37"/>
  <sheetViews>
    <sheetView tabSelected="1" workbookViewId="0">
      <selection activeCell="C9" sqref="C9"/>
    </sheetView>
  </sheetViews>
  <sheetFormatPr baseColWidth="10" defaultColWidth="0" defaultRowHeight="15"/>
  <cols>
    <col min="1" max="1" width="21.140625" customWidth="1"/>
    <col min="2" max="2" width="19.140625" customWidth="1"/>
    <col min="3" max="3" width="62.5703125" customWidth="1"/>
    <col min="4" max="34" width="3.42578125" customWidth="1"/>
    <col min="35" max="35" width="22.140625" customWidth="1"/>
    <col min="36" max="16384" width="65" hidden="1"/>
  </cols>
  <sheetData>
    <row r="1" spans="1:35" ht="43.5" customHeight="1">
      <c r="A1" s="45" t="s">
        <v>27</v>
      </c>
      <c r="B1" s="45"/>
      <c r="C1" s="21">
        <f>DATE(B36,B35,1)</f>
        <v>41699</v>
      </c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"/>
    </row>
    <row r="2" spans="1:35" ht="19.5" thickBot="1">
      <c r="A2" t="s">
        <v>22</v>
      </c>
      <c r="B2" t="s">
        <v>3</v>
      </c>
      <c r="C2" t="s">
        <v>2</v>
      </c>
      <c r="D2" s="20">
        <f>DATE(B36,B35,1)</f>
        <v>41699</v>
      </c>
      <c r="E2" s="20">
        <f>D2+1</f>
        <v>41700</v>
      </c>
      <c r="F2" s="20">
        <f t="shared" ref="F2:AE2" si="0">E2+1</f>
        <v>41701</v>
      </c>
      <c r="G2" s="20">
        <f t="shared" si="0"/>
        <v>41702</v>
      </c>
      <c r="H2" s="20">
        <f t="shared" si="0"/>
        <v>41703</v>
      </c>
      <c r="I2" s="20">
        <f t="shared" si="0"/>
        <v>41704</v>
      </c>
      <c r="J2" s="20">
        <f t="shared" si="0"/>
        <v>41705</v>
      </c>
      <c r="K2" s="20">
        <f t="shared" si="0"/>
        <v>41706</v>
      </c>
      <c r="L2" s="20">
        <f t="shared" si="0"/>
        <v>41707</v>
      </c>
      <c r="M2" s="20">
        <f t="shared" si="0"/>
        <v>41708</v>
      </c>
      <c r="N2" s="20">
        <f t="shared" si="0"/>
        <v>41709</v>
      </c>
      <c r="O2" s="20">
        <f t="shared" si="0"/>
        <v>41710</v>
      </c>
      <c r="P2" s="20">
        <f t="shared" si="0"/>
        <v>41711</v>
      </c>
      <c r="Q2" s="20">
        <f t="shared" si="0"/>
        <v>41712</v>
      </c>
      <c r="R2" s="20">
        <f t="shared" si="0"/>
        <v>41713</v>
      </c>
      <c r="S2" s="20">
        <f t="shared" si="0"/>
        <v>41714</v>
      </c>
      <c r="T2" s="20">
        <f t="shared" si="0"/>
        <v>41715</v>
      </c>
      <c r="U2" s="20">
        <f t="shared" si="0"/>
        <v>41716</v>
      </c>
      <c r="V2" s="20">
        <f t="shared" si="0"/>
        <v>41717</v>
      </c>
      <c r="W2" s="20">
        <f t="shared" si="0"/>
        <v>41718</v>
      </c>
      <c r="X2" s="20">
        <f t="shared" si="0"/>
        <v>41719</v>
      </c>
      <c r="Y2" s="20">
        <f t="shared" si="0"/>
        <v>41720</v>
      </c>
      <c r="Z2" s="20">
        <f t="shared" si="0"/>
        <v>41721</v>
      </c>
      <c r="AA2" s="20">
        <f t="shared" si="0"/>
        <v>41722</v>
      </c>
      <c r="AB2" s="20">
        <f t="shared" si="0"/>
        <v>41723</v>
      </c>
      <c r="AC2" s="20">
        <f t="shared" si="0"/>
        <v>41724</v>
      </c>
      <c r="AD2" s="20">
        <f t="shared" si="0"/>
        <v>41725</v>
      </c>
      <c r="AE2" s="20">
        <f t="shared" si="0"/>
        <v>41726</v>
      </c>
      <c r="AF2" s="20">
        <f>IF(MONTH(AE2+1)=$B$35,AE2+1," ")</f>
        <v>41727</v>
      </c>
      <c r="AG2" s="20">
        <f>IF(MONTH(AE2+2)=$B$35,AE2+2," ")</f>
        <v>41728</v>
      </c>
      <c r="AH2" s="20">
        <f>IF(MONTH(AE2+3)=$B$35,AE2+3," ")</f>
        <v>41729</v>
      </c>
      <c r="AI2" s="4" t="s">
        <v>0</v>
      </c>
    </row>
    <row r="3" spans="1:35" s="27" customFormat="1" ht="15.75" thickTop="1">
      <c r="A3" s="34" t="s">
        <v>28</v>
      </c>
      <c r="B3" s="33"/>
      <c r="C3" s="34" t="s">
        <v>29</v>
      </c>
      <c r="D3" s="19"/>
      <c r="E3" s="19"/>
      <c r="F3" s="19">
        <v>8</v>
      </c>
      <c r="G3" s="19">
        <v>6</v>
      </c>
      <c r="H3" s="19">
        <v>8</v>
      </c>
      <c r="I3" s="19">
        <v>8</v>
      </c>
      <c r="J3" s="19">
        <v>8</v>
      </c>
      <c r="K3" s="19"/>
      <c r="L3" s="19"/>
      <c r="M3" s="19">
        <v>8</v>
      </c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26">
        <f t="shared" ref="AI3:AI33" si="1">SUM(D3:AH3)</f>
        <v>46</v>
      </c>
    </row>
    <row r="4" spans="1:35" s="27" customFormat="1">
      <c r="A4" s="35" t="s">
        <v>28</v>
      </c>
      <c r="B4" s="36"/>
      <c r="C4" s="35" t="s">
        <v>30</v>
      </c>
      <c r="D4" s="17"/>
      <c r="E4" s="17"/>
      <c r="F4" s="17"/>
      <c r="G4" s="17">
        <v>2</v>
      </c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26">
        <f t="shared" si="1"/>
        <v>2</v>
      </c>
    </row>
    <row r="5" spans="1:35" s="27" customFormat="1">
      <c r="A5" s="34" t="s">
        <v>28</v>
      </c>
      <c r="B5" s="33"/>
      <c r="C5" s="34" t="s">
        <v>31</v>
      </c>
      <c r="D5" s="17"/>
      <c r="E5" s="17"/>
      <c r="F5" s="17"/>
      <c r="G5" s="17"/>
      <c r="H5" s="17"/>
      <c r="I5" s="17"/>
      <c r="J5" s="17"/>
      <c r="K5" s="17"/>
      <c r="L5" s="17"/>
      <c r="M5" s="17"/>
      <c r="N5" s="17">
        <v>8</v>
      </c>
      <c r="O5" s="17">
        <v>8</v>
      </c>
      <c r="P5" s="17">
        <v>8</v>
      </c>
      <c r="Q5" s="17"/>
      <c r="R5" s="17"/>
      <c r="S5" s="17"/>
      <c r="T5" s="17"/>
      <c r="U5" s="17"/>
      <c r="V5" s="17"/>
      <c r="W5" s="17"/>
      <c r="X5" s="17">
        <v>4</v>
      </c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26">
        <f t="shared" si="1"/>
        <v>28</v>
      </c>
    </row>
    <row r="6" spans="1:35" s="27" customFormat="1">
      <c r="A6" s="35" t="s">
        <v>28</v>
      </c>
      <c r="B6" s="36"/>
      <c r="C6" s="35" t="s">
        <v>32</v>
      </c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>
        <v>4</v>
      </c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26">
        <f t="shared" ref="AI6:AI15" si="2">SUM(D6:AH6)</f>
        <v>4</v>
      </c>
    </row>
    <row r="7" spans="1:35" s="27" customFormat="1">
      <c r="A7" s="34"/>
      <c r="B7" s="33"/>
      <c r="C7" s="34" t="s">
        <v>33</v>
      </c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>
        <v>8</v>
      </c>
      <c r="R7" s="17"/>
      <c r="S7" s="17"/>
      <c r="T7" s="17">
        <v>8</v>
      </c>
      <c r="U7" s="17">
        <v>8</v>
      </c>
      <c r="V7" s="17">
        <v>4</v>
      </c>
      <c r="W7" s="17">
        <v>8</v>
      </c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26">
        <f t="shared" si="2"/>
        <v>36</v>
      </c>
    </row>
    <row r="8" spans="1:35" s="27" customFormat="1">
      <c r="A8" s="35" t="s">
        <v>28</v>
      </c>
      <c r="B8" s="36"/>
      <c r="C8" s="35" t="s">
        <v>34</v>
      </c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>
        <v>1</v>
      </c>
      <c r="Y8" s="17"/>
      <c r="Z8" s="17"/>
      <c r="AA8" s="17">
        <v>3</v>
      </c>
      <c r="AB8" s="17">
        <v>8</v>
      </c>
      <c r="AC8" s="17">
        <v>8</v>
      </c>
      <c r="AD8" s="17">
        <v>8</v>
      </c>
      <c r="AE8" s="17">
        <v>8</v>
      </c>
      <c r="AF8" s="17"/>
      <c r="AG8" s="17"/>
      <c r="AH8" s="17">
        <v>8</v>
      </c>
      <c r="AI8" s="26">
        <f t="shared" si="2"/>
        <v>44</v>
      </c>
    </row>
    <row r="9" spans="1:35" s="27" customFormat="1">
      <c r="A9" s="34" t="s">
        <v>28</v>
      </c>
      <c r="B9" s="33"/>
      <c r="C9" s="34" t="s">
        <v>35</v>
      </c>
      <c r="D9" s="17"/>
      <c r="E9" s="17"/>
      <c r="F9" s="17"/>
      <c r="G9" s="42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>
        <v>3</v>
      </c>
      <c r="Y9" s="17"/>
      <c r="Z9" s="17"/>
      <c r="AA9" s="17">
        <v>5</v>
      </c>
      <c r="AB9" s="17"/>
      <c r="AC9" s="17"/>
      <c r="AD9" s="17"/>
      <c r="AE9" s="17"/>
      <c r="AF9" s="17"/>
      <c r="AG9" s="17"/>
      <c r="AH9" s="17"/>
      <c r="AI9" s="26">
        <f t="shared" si="2"/>
        <v>8</v>
      </c>
    </row>
    <row r="10" spans="1:35" s="27" customFormat="1">
      <c r="A10"/>
      <c r="B10"/>
      <c r="C10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26">
        <f t="shared" si="2"/>
        <v>0</v>
      </c>
    </row>
    <row r="11" spans="1:35" s="27" customFormat="1">
      <c r="A11"/>
      <c r="B11"/>
      <c r="C11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26">
        <f t="shared" si="2"/>
        <v>0</v>
      </c>
    </row>
    <row r="12" spans="1:35" s="27" customFormat="1">
      <c r="A12"/>
      <c r="B12"/>
      <c r="C12"/>
      <c r="D12" s="17"/>
      <c r="E12" s="42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43"/>
      <c r="AI12" s="26">
        <f t="shared" si="2"/>
        <v>0</v>
      </c>
    </row>
    <row r="13" spans="1:35" s="27" customFormat="1">
      <c r="A13"/>
      <c r="B13"/>
      <c r="C13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26">
        <f t="shared" si="2"/>
        <v>0</v>
      </c>
    </row>
    <row r="14" spans="1:35" s="27" customFormat="1">
      <c r="B14"/>
      <c r="C14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26">
        <f t="shared" si="2"/>
        <v>0</v>
      </c>
    </row>
    <row r="15" spans="1:35" s="27" customFormat="1">
      <c r="A15"/>
      <c r="B15" s="41"/>
      <c r="C15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26">
        <f t="shared" si="2"/>
        <v>0</v>
      </c>
    </row>
    <row r="16" spans="1:35" s="27" customFormat="1">
      <c r="A16"/>
      <c r="B16"/>
      <c r="C16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26">
        <f t="shared" si="1"/>
        <v>0</v>
      </c>
    </row>
    <row r="17" spans="1:35" s="27" customFormat="1">
      <c r="A17"/>
      <c r="B17"/>
      <c r="C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26">
        <f t="shared" si="1"/>
        <v>0</v>
      </c>
    </row>
    <row r="18" spans="1:35" s="27" customFormat="1">
      <c r="A18" s="41"/>
      <c r="B18" s="44"/>
      <c r="C18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26">
        <f t="shared" si="1"/>
        <v>0</v>
      </c>
    </row>
    <row r="19" spans="1:35" s="27" customFormat="1">
      <c r="A19"/>
      <c r="B19"/>
      <c r="C19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26">
        <f t="shared" si="1"/>
        <v>0</v>
      </c>
    </row>
    <row r="20" spans="1:35" s="27" customFormat="1">
      <c r="A20"/>
      <c r="B20"/>
      <c r="C20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26">
        <f t="shared" si="1"/>
        <v>0</v>
      </c>
    </row>
    <row r="21" spans="1:35" s="27" customFormat="1">
      <c r="A21"/>
      <c r="B21"/>
      <c r="C21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26">
        <f t="shared" si="1"/>
        <v>0</v>
      </c>
    </row>
    <row r="22" spans="1:35" s="27" customFormat="1">
      <c r="A22"/>
      <c r="B22"/>
      <c r="C22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26">
        <f t="shared" si="1"/>
        <v>0</v>
      </c>
    </row>
    <row r="23" spans="1:35" s="27" customFormat="1">
      <c r="A23"/>
      <c r="B23"/>
      <c r="C23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26">
        <f t="shared" si="1"/>
        <v>0</v>
      </c>
    </row>
    <row r="24" spans="1:35" s="27" customFormat="1">
      <c r="A24"/>
      <c r="B24"/>
      <c r="C24" s="41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26">
        <f t="shared" si="1"/>
        <v>0</v>
      </c>
    </row>
    <row r="25" spans="1:35" s="27" customFormat="1">
      <c r="A25"/>
      <c r="B25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26">
        <f t="shared" si="1"/>
        <v>0</v>
      </c>
    </row>
    <row r="26" spans="1:35" s="27" customFormat="1">
      <c r="A26"/>
      <c r="B26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26">
        <f t="shared" si="1"/>
        <v>0</v>
      </c>
    </row>
    <row r="27" spans="1:35" s="27" customFormat="1">
      <c r="A27"/>
      <c r="B27"/>
      <c r="C2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26">
        <f t="shared" si="1"/>
        <v>0</v>
      </c>
    </row>
    <row r="28" spans="1:35" s="27" customFormat="1">
      <c r="A28"/>
      <c r="B28"/>
      <c r="C28" t="s">
        <v>26</v>
      </c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26">
        <f t="shared" si="1"/>
        <v>0</v>
      </c>
    </row>
    <row r="29" spans="1:35" s="27" customFormat="1">
      <c r="A29" s="1"/>
      <c r="B29" s="1"/>
      <c r="C29" s="1" t="s">
        <v>25</v>
      </c>
      <c r="D29" s="18"/>
      <c r="E29" s="18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26"/>
    </row>
    <row r="30" spans="1:35" s="27" customFormat="1">
      <c r="A30" s="5"/>
      <c r="B30" s="6"/>
      <c r="C30" s="8" t="s">
        <v>7</v>
      </c>
      <c r="D30" s="14">
        <v>8</v>
      </c>
      <c r="E30" s="14">
        <f t="shared" ref="E30:AE30" si="3">IF(WEEKDAY(E2,2)&gt;5,8," ")</f>
        <v>8</v>
      </c>
      <c r="F30" s="14" t="str">
        <f t="shared" si="3"/>
        <v xml:space="preserve"> </v>
      </c>
      <c r="G30" s="14" t="str">
        <f t="shared" si="3"/>
        <v xml:space="preserve"> </v>
      </c>
      <c r="H30" s="14" t="str">
        <f t="shared" si="3"/>
        <v xml:space="preserve"> </v>
      </c>
      <c r="I30" s="14" t="str">
        <f t="shared" si="3"/>
        <v xml:space="preserve"> </v>
      </c>
      <c r="J30" s="14" t="str">
        <f t="shared" si="3"/>
        <v xml:space="preserve"> </v>
      </c>
      <c r="K30" s="14">
        <f t="shared" si="3"/>
        <v>8</v>
      </c>
      <c r="L30" s="14">
        <f t="shared" si="3"/>
        <v>8</v>
      </c>
      <c r="M30" s="14" t="str">
        <f t="shared" si="3"/>
        <v xml:space="preserve"> </v>
      </c>
      <c r="N30" s="14" t="str">
        <f t="shared" si="3"/>
        <v xml:space="preserve"> </v>
      </c>
      <c r="O30" s="14" t="str">
        <f t="shared" si="3"/>
        <v xml:space="preserve"> </v>
      </c>
      <c r="P30" s="14" t="str">
        <f t="shared" si="3"/>
        <v xml:space="preserve"> </v>
      </c>
      <c r="Q30" s="14" t="str">
        <f t="shared" si="3"/>
        <v xml:space="preserve"> </v>
      </c>
      <c r="R30" s="14">
        <f t="shared" si="3"/>
        <v>8</v>
      </c>
      <c r="S30" s="14">
        <f t="shared" si="3"/>
        <v>8</v>
      </c>
      <c r="T30" s="14" t="str">
        <f t="shared" si="3"/>
        <v xml:space="preserve"> </v>
      </c>
      <c r="U30" s="14" t="str">
        <f t="shared" si="3"/>
        <v xml:space="preserve"> </v>
      </c>
      <c r="V30" s="14" t="str">
        <f t="shared" si="3"/>
        <v xml:space="preserve"> </v>
      </c>
      <c r="W30" s="14" t="str">
        <f t="shared" si="3"/>
        <v xml:space="preserve"> </v>
      </c>
      <c r="X30" s="14" t="str">
        <f t="shared" si="3"/>
        <v xml:space="preserve"> </v>
      </c>
      <c r="Y30" s="14">
        <f t="shared" si="3"/>
        <v>8</v>
      </c>
      <c r="Z30" s="14">
        <f t="shared" si="3"/>
        <v>8</v>
      </c>
      <c r="AA30" s="14" t="str">
        <f t="shared" si="3"/>
        <v xml:space="preserve"> </v>
      </c>
      <c r="AB30" s="14" t="str">
        <f t="shared" si="3"/>
        <v xml:space="preserve"> </v>
      </c>
      <c r="AC30" s="14" t="str">
        <f t="shared" si="3"/>
        <v xml:space="preserve"> </v>
      </c>
      <c r="AD30" s="14" t="str">
        <f t="shared" si="3"/>
        <v xml:space="preserve"> </v>
      </c>
      <c r="AE30" s="14" t="str">
        <f t="shared" si="3"/>
        <v xml:space="preserve"> </v>
      </c>
      <c r="AF30" s="14">
        <f>IF(MONTH(AE2+1)=$B$35,IF(WEEKDAY(AF2,2)&gt;5,8," ")," ")</f>
        <v>8</v>
      </c>
      <c r="AG30" s="14">
        <f>IF(MONTH(AE2+2)=$B$35,IF(WEEKDAY(AG2,2)&gt;5,8," ")," ")</f>
        <v>8</v>
      </c>
      <c r="AH30" s="14" t="str">
        <f>IF(MONTH(AE2+3)=$B$35,IF(WEEKDAY(AH2,2)&gt;5,8," ")," ")</f>
        <v xml:space="preserve"> </v>
      </c>
      <c r="AI30" s="28">
        <f t="shared" si="1"/>
        <v>80</v>
      </c>
    </row>
    <row r="31" spans="1:35" s="40" customFormat="1">
      <c r="A31" s="37"/>
      <c r="B31" s="37"/>
      <c r="C31" s="9" t="s">
        <v>4</v>
      </c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  <c r="AA31" s="38"/>
      <c r="AB31" s="38"/>
      <c r="AC31" s="38"/>
      <c r="AD31" s="38"/>
      <c r="AE31" s="38"/>
      <c r="AF31" s="38"/>
      <c r="AG31" s="38"/>
      <c r="AH31" s="38"/>
      <c r="AI31" s="39">
        <f t="shared" si="1"/>
        <v>0</v>
      </c>
    </row>
    <row r="32" spans="1:35" s="27" customFormat="1">
      <c r="A32" s="2"/>
      <c r="B32" s="2"/>
      <c r="C32" s="10" t="s">
        <v>5</v>
      </c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  <c r="AG32" s="15"/>
      <c r="AH32" s="15"/>
      <c r="AI32" s="29">
        <f t="shared" si="1"/>
        <v>0</v>
      </c>
    </row>
    <row r="33" spans="1:35" s="27" customFormat="1">
      <c r="A33" s="7"/>
      <c r="B33" s="7"/>
      <c r="C33" s="11" t="s">
        <v>6</v>
      </c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30">
        <f t="shared" si="1"/>
        <v>0</v>
      </c>
    </row>
    <row r="34" spans="1:35" s="27" customFormat="1" ht="18.75">
      <c r="A34"/>
      <c r="B34"/>
      <c r="C34" s="12" t="s">
        <v>1</v>
      </c>
      <c r="D34" s="32">
        <f>SUBTOTAL(109,D3:D33)</f>
        <v>8</v>
      </c>
      <c r="E34" s="32">
        <f t="shared" ref="E34:AH34" si="4">SUBTOTAL(109,E3:E33)</f>
        <v>8</v>
      </c>
      <c r="F34" s="32">
        <f t="shared" si="4"/>
        <v>8</v>
      </c>
      <c r="G34" s="32">
        <f t="shared" si="4"/>
        <v>8</v>
      </c>
      <c r="H34" s="32">
        <f t="shared" si="4"/>
        <v>8</v>
      </c>
      <c r="I34" s="32">
        <f t="shared" si="4"/>
        <v>8</v>
      </c>
      <c r="J34" s="32">
        <f t="shared" si="4"/>
        <v>8</v>
      </c>
      <c r="K34" s="32">
        <f t="shared" si="4"/>
        <v>8</v>
      </c>
      <c r="L34" s="32">
        <f t="shared" si="4"/>
        <v>8</v>
      </c>
      <c r="M34" s="32">
        <f t="shared" si="4"/>
        <v>8</v>
      </c>
      <c r="N34" s="32">
        <f t="shared" si="4"/>
        <v>8</v>
      </c>
      <c r="O34" s="32">
        <f t="shared" si="4"/>
        <v>8</v>
      </c>
      <c r="P34" s="32">
        <f t="shared" si="4"/>
        <v>8</v>
      </c>
      <c r="Q34" s="32">
        <f t="shared" si="4"/>
        <v>8</v>
      </c>
      <c r="R34" s="32">
        <f t="shared" si="4"/>
        <v>8</v>
      </c>
      <c r="S34" s="32">
        <f t="shared" si="4"/>
        <v>8</v>
      </c>
      <c r="T34" s="32">
        <f t="shared" si="4"/>
        <v>8</v>
      </c>
      <c r="U34" s="32">
        <f t="shared" si="4"/>
        <v>8</v>
      </c>
      <c r="V34" s="32">
        <f t="shared" si="4"/>
        <v>8</v>
      </c>
      <c r="W34" s="32">
        <f t="shared" si="4"/>
        <v>8</v>
      </c>
      <c r="X34" s="32">
        <f t="shared" si="4"/>
        <v>8</v>
      </c>
      <c r="Y34" s="32">
        <f t="shared" si="4"/>
        <v>8</v>
      </c>
      <c r="Z34" s="32">
        <f t="shared" si="4"/>
        <v>8</v>
      </c>
      <c r="AA34" s="32">
        <f t="shared" si="4"/>
        <v>8</v>
      </c>
      <c r="AB34" s="32">
        <f t="shared" si="4"/>
        <v>8</v>
      </c>
      <c r="AC34" s="32">
        <f t="shared" si="4"/>
        <v>8</v>
      </c>
      <c r="AD34" s="32">
        <f t="shared" si="4"/>
        <v>8</v>
      </c>
      <c r="AE34" s="32">
        <f t="shared" si="4"/>
        <v>8</v>
      </c>
      <c r="AF34" s="32">
        <f t="shared" si="4"/>
        <v>8</v>
      </c>
      <c r="AG34" s="32">
        <f t="shared" si="4"/>
        <v>8</v>
      </c>
      <c r="AH34" s="32">
        <f t="shared" si="4"/>
        <v>8</v>
      </c>
      <c r="AI34" s="31">
        <f>SUBTOTAL(109,AI3:AI33)</f>
        <v>248</v>
      </c>
    </row>
    <row r="35" spans="1:35" ht="29.25" customHeight="1">
      <c r="A35" s="24" t="s">
        <v>23</v>
      </c>
      <c r="B35" s="22">
        <v>3</v>
      </c>
    </row>
    <row r="36" spans="1:35" ht="30.75" customHeight="1">
      <c r="A36" s="25" t="s">
        <v>24</v>
      </c>
      <c r="B36" s="23">
        <v>2014</v>
      </c>
      <c r="C36" s="3"/>
    </row>
    <row r="37" spans="1:35" ht="16.5" customHeight="1"/>
  </sheetData>
  <mergeCells count="1">
    <mergeCell ref="A1:B1"/>
  </mergeCells>
  <conditionalFormatting sqref="D3:AH29">
    <cfRule type="expression" dxfId="9" priority="11">
      <formula>MOD(ROW(),2)=0</formula>
    </cfRule>
    <cfRule type="expression" dxfId="8" priority="12">
      <formula>MOD(ROW(),2)=1</formula>
    </cfRule>
    <cfRule type="expression" dxfId="7" priority="20">
      <formula>_xludf.MOD(ROW(),2)=1</formula>
    </cfRule>
  </conditionalFormatting>
  <conditionalFormatting sqref="D2:AH29">
    <cfRule type="expression" dxfId="6" priority="8">
      <formula>AND((_xludf.MOD(COLUMN(),2)=1),(_xludf.MOD(ROW(),2)=1))</formula>
    </cfRule>
    <cfRule type="expression" dxfId="5" priority="14">
      <formula>_xludf.MOD(ROW(),2)=0</formula>
    </cfRule>
    <cfRule type="expression" dxfId="4" priority="17">
      <formula>_xludf.MOD(ROW(),2)=1</formula>
    </cfRule>
  </conditionalFormatting>
  <conditionalFormatting sqref="D3:AI29">
    <cfRule type="expression" dxfId="3" priority="13">
      <formula>MOD(ROW(),2)=1</formula>
    </cfRule>
  </conditionalFormatting>
  <pageMargins left="0.7" right="0.7" top="0.75" bottom="0.75" header="0.3" footer="0.3"/>
  <pageSetup paperSize="9" orientation="portrait" horizontalDpi="200" verticalDpi="200" r:id="rId1"/>
  <legacyDrawing r:id="rId2"/>
  <tableParts count="3"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A3:O12"/>
  <sheetViews>
    <sheetView workbookViewId="0">
      <selection activeCell="A3" sqref="A3"/>
    </sheetView>
  </sheetViews>
  <sheetFormatPr baseColWidth="10" defaultRowHeight="15"/>
  <cols>
    <col min="1" max="1" width="12" customWidth="1"/>
    <col min="3" max="11" width="12" customWidth="1"/>
    <col min="12" max="15" width="13" customWidth="1"/>
  </cols>
  <sheetData>
    <row r="3" spans="1:15">
      <c r="A3" t="s">
        <v>8</v>
      </c>
      <c r="C3" t="s">
        <v>8</v>
      </c>
      <c r="D3" t="s">
        <v>9</v>
      </c>
      <c r="E3" t="s">
        <v>10</v>
      </c>
      <c r="F3" t="s">
        <v>11</v>
      </c>
      <c r="G3" t="s">
        <v>12</v>
      </c>
      <c r="H3" t="s">
        <v>13</v>
      </c>
      <c r="I3" t="s">
        <v>14</v>
      </c>
      <c r="J3" t="s">
        <v>15</v>
      </c>
      <c r="K3" t="s">
        <v>16</v>
      </c>
      <c r="L3" t="s">
        <v>17</v>
      </c>
      <c r="M3" t="s">
        <v>18</v>
      </c>
      <c r="N3" t="s">
        <v>19</v>
      </c>
      <c r="O3" t="s">
        <v>20</v>
      </c>
    </row>
    <row r="4" spans="1:15">
      <c r="A4" s="1"/>
    </row>
    <row r="5" spans="1:15">
      <c r="A5" t="s">
        <v>21</v>
      </c>
    </row>
    <row r="6" spans="1:15">
      <c r="A6" t="s">
        <v>21</v>
      </c>
    </row>
    <row r="12" spans="1:15">
      <c r="A12" s="1"/>
    </row>
  </sheetData>
  <pageMargins left="0.7" right="0.7" top="0.75" bottom="0.75" header="0.3" footer="0.3"/>
  <pageSetup paperSize="9" orientation="portrait" horizontalDpi="200" verticalDpi="200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3"/>
  <dimension ref="A1"/>
  <sheetViews>
    <sheetView workbookViewId="0"/>
  </sheetViews>
  <sheetFormatPr baseColWidth="10" defaultRowHeight="15"/>
  <sheetData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2006-09-12T12:46:56Z</dcterms:created>
  <dcterms:modified xsi:type="dcterms:W3CDTF">2014-08-14T10:19:46Z</dcterms:modified>
</cp:coreProperties>
</file>